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8a8fd3e0d48bb0/Documentos 1/Documentos/ELAB/Soroban/Codigos/flash_anzan/"/>
    </mc:Choice>
  </mc:AlternateContent>
  <xr:revisionPtr revIDLastSave="96" documentId="8_{43F0DAF1-4C2F-4C23-8109-F273B5677FC6}" xr6:coauthVersionLast="47" xr6:coauthVersionMax="47" xr10:uidLastSave="{B97CE687-3B83-4F4D-8F8C-68064661C042}"/>
  <bookViews>
    <workbookView xWindow="28695" yWindow="0" windowWidth="14610" windowHeight="15585" firstSheet="8" activeTab="11" xr2:uid="{DAE7EA61-A680-4E4A-9B6B-F7B69FBD9EEC}"/>
  </bookViews>
  <sheets>
    <sheet name="Paso 1-3" sheetId="1" r:id="rId1"/>
    <sheet name="Paso 2-4" sheetId="2" r:id="rId2"/>
    <sheet name="Paso 5" sheetId="3" r:id="rId3"/>
    <sheet name="Paso 6" sheetId="4" r:id="rId4"/>
    <sheet name="Paso 7" sheetId="6" r:id="rId5"/>
    <sheet name="Paso 8" sheetId="7" r:id="rId6"/>
    <sheet name="Paso 9" sheetId="8" r:id="rId7"/>
    <sheet name="Paso 10" sheetId="9" r:id="rId8"/>
    <sheet name="Paso 11.1" sheetId="10" r:id="rId9"/>
    <sheet name="Paso 11.2" sheetId="11" r:id="rId10"/>
    <sheet name="Paso 12.1" sheetId="12" r:id="rId11"/>
    <sheet name="Paso 12.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9" l="1"/>
  <c r="F9" i="9"/>
  <c r="F10" i="9"/>
  <c r="F11" i="9"/>
  <c r="E8" i="9"/>
  <c r="E9" i="9"/>
  <c r="E10" i="9"/>
  <c r="D8" i="9"/>
  <c r="D9" i="9"/>
  <c r="K10" i="2"/>
  <c r="K9" i="2"/>
  <c r="K8" i="2"/>
  <c r="K7" i="2"/>
  <c r="K3" i="2"/>
  <c r="K4" i="2"/>
  <c r="K5" i="2"/>
  <c r="K6" i="2"/>
  <c r="I10" i="7"/>
  <c r="I11" i="7"/>
  <c r="H9" i="7"/>
  <c r="H10" i="7"/>
  <c r="H11" i="7"/>
  <c r="G11" i="7"/>
  <c r="G10" i="7"/>
  <c r="G9" i="7"/>
  <c r="G8" i="7"/>
  <c r="E11" i="7"/>
  <c r="E6" i="7"/>
  <c r="E7" i="7"/>
  <c r="D11" i="7"/>
  <c r="D10" i="7"/>
  <c r="D5" i="7"/>
  <c r="D6" i="7"/>
  <c r="D7" i="7"/>
  <c r="C11" i="7"/>
  <c r="C10" i="7"/>
  <c r="C9" i="7"/>
  <c r="C4" i="7"/>
  <c r="C5" i="7"/>
  <c r="C6" i="7"/>
  <c r="C7" i="7"/>
  <c r="I5" i="4"/>
  <c r="I6" i="4"/>
  <c r="H4" i="4"/>
  <c r="H5" i="4"/>
  <c r="H6" i="4"/>
  <c r="G3" i="4"/>
  <c r="G4" i="4"/>
  <c r="G5" i="4"/>
  <c r="G6" i="4"/>
  <c r="J9" i="2"/>
  <c r="J8" i="2"/>
  <c r="J7" i="2"/>
  <c r="J5" i="2"/>
  <c r="J4" i="2"/>
  <c r="J3" i="2"/>
  <c r="I3" i="2"/>
  <c r="H3" i="2"/>
  <c r="H7" i="2"/>
  <c r="F3" i="2"/>
  <c r="F4" i="2"/>
  <c r="F5" i="2"/>
  <c r="E3" i="2"/>
  <c r="E4" i="2"/>
  <c r="I8" i="2"/>
  <c r="I7" i="2"/>
  <c r="I4" i="2"/>
  <c r="K11" i="12"/>
  <c r="G11" i="12"/>
  <c r="F11" i="12"/>
  <c r="E11" i="12"/>
  <c r="B11" i="12"/>
  <c r="K10" i="12"/>
  <c r="H10" i="12"/>
  <c r="G10" i="12"/>
  <c r="F10" i="12"/>
  <c r="E10" i="12"/>
  <c r="D10" i="12"/>
  <c r="B10" i="12"/>
  <c r="K9" i="12"/>
  <c r="I9" i="12"/>
  <c r="H9" i="12"/>
  <c r="G9" i="12"/>
  <c r="F9" i="12"/>
  <c r="E9" i="12"/>
  <c r="B9" i="12"/>
  <c r="K8" i="12"/>
  <c r="I8" i="12"/>
  <c r="H8" i="12"/>
  <c r="G8" i="12"/>
  <c r="F8" i="12"/>
  <c r="B8" i="12"/>
  <c r="K7" i="12"/>
  <c r="B7" i="12"/>
  <c r="K6" i="12"/>
  <c r="B6" i="12"/>
  <c r="K5" i="12"/>
  <c r="B5" i="12"/>
  <c r="K4" i="12"/>
  <c r="B4" i="12"/>
  <c r="K3" i="12"/>
  <c r="B3" i="12"/>
  <c r="K11" i="10"/>
  <c r="G11" i="10"/>
  <c r="F11" i="10"/>
  <c r="E11" i="10"/>
  <c r="B11" i="10"/>
  <c r="K10" i="10"/>
  <c r="H10" i="10"/>
  <c r="G10" i="10"/>
  <c r="F10" i="10"/>
  <c r="E10" i="10"/>
  <c r="D10" i="10"/>
  <c r="B10" i="10"/>
  <c r="K9" i="10"/>
  <c r="I9" i="10"/>
  <c r="H9" i="10"/>
  <c r="G9" i="10"/>
  <c r="F9" i="10"/>
  <c r="E9" i="10"/>
  <c r="B9" i="10"/>
  <c r="K8" i="10"/>
  <c r="I8" i="10"/>
  <c r="H8" i="10"/>
  <c r="G8" i="10"/>
  <c r="F8" i="10"/>
  <c r="B8" i="10"/>
  <c r="K7" i="10"/>
  <c r="B7" i="10"/>
  <c r="K6" i="10"/>
  <c r="B6" i="10"/>
  <c r="K5" i="10"/>
  <c r="B5" i="10"/>
  <c r="K4" i="10"/>
  <c r="B4" i="10"/>
  <c r="K3" i="10"/>
  <c r="B3" i="10"/>
  <c r="B11" i="9"/>
  <c r="B10" i="9"/>
  <c r="B9" i="9"/>
  <c r="B8" i="9"/>
  <c r="B7" i="9"/>
  <c r="B6" i="9"/>
  <c r="B5" i="9"/>
  <c r="B4" i="9"/>
  <c r="B3" i="9"/>
  <c r="K11" i="8"/>
  <c r="K10" i="8"/>
  <c r="K9" i="8"/>
  <c r="K8" i="8"/>
  <c r="K7" i="8"/>
  <c r="K6" i="8"/>
  <c r="K5" i="8"/>
  <c r="K4" i="8"/>
  <c r="K3" i="8"/>
  <c r="I9" i="8"/>
  <c r="I8" i="8"/>
  <c r="H8" i="8"/>
  <c r="H9" i="8"/>
  <c r="H10" i="8"/>
  <c r="G8" i="8"/>
  <c r="G9" i="8"/>
  <c r="G10" i="8"/>
  <c r="G11" i="8"/>
  <c r="F11" i="8"/>
  <c r="E11" i="8"/>
  <c r="B11" i="8"/>
  <c r="F10" i="8"/>
  <c r="E10" i="8"/>
  <c r="D10" i="8"/>
  <c r="B10" i="8"/>
  <c r="F9" i="8"/>
  <c r="E9" i="8"/>
  <c r="B9" i="8"/>
  <c r="F8" i="8"/>
  <c r="B8" i="8"/>
  <c r="B7" i="8"/>
  <c r="B6" i="8"/>
  <c r="B5" i="8"/>
  <c r="B4" i="8"/>
  <c r="B3" i="8"/>
  <c r="B11" i="7"/>
  <c r="B10" i="7"/>
  <c r="B9" i="7"/>
  <c r="B8" i="7"/>
  <c r="B7" i="7"/>
  <c r="B6" i="7"/>
  <c r="B5" i="7"/>
  <c r="B4" i="7"/>
  <c r="B3" i="7"/>
  <c r="D5" i="3"/>
  <c r="D6" i="3"/>
  <c r="E4" i="3"/>
  <c r="E5" i="3"/>
  <c r="E6" i="3"/>
  <c r="K11" i="6"/>
  <c r="K10" i="6"/>
  <c r="K9" i="6"/>
  <c r="K8" i="6"/>
  <c r="K7" i="6"/>
  <c r="K6" i="6"/>
  <c r="K5" i="6"/>
  <c r="K4" i="6"/>
  <c r="K3" i="6"/>
  <c r="J4" i="6"/>
  <c r="J5" i="6"/>
  <c r="J6" i="6"/>
  <c r="J7" i="6"/>
  <c r="J9" i="6"/>
  <c r="J10" i="6"/>
  <c r="J11" i="6"/>
  <c r="I5" i="6"/>
  <c r="I6" i="6"/>
  <c r="I7" i="6"/>
  <c r="I10" i="6"/>
  <c r="I11" i="6"/>
  <c r="H6" i="6"/>
  <c r="H7" i="6"/>
  <c r="H11" i="6"/>
  <c r="F8" i="6"/>
  <c r="F9" i="6"/>
  <c r="F10" i="6"/>
  <c r="F11" i="6"/>
  <c r="E9" i="6"/>
  <c r="E10" i="6"/>
  <c r="E11" i="6"/>
  <c r="D10" i="6"/>
  <c r="B11" i="6"/>
  <c r="B10" i="6"/>
  <c r="B9" i="6"/>
  <c r="B8" i="6"/>
  <c r="B7" i="6"/>
  <c r="B6" i="6"/>
  <c r="B5" i="6"/>
  <c r="B4" i="6"/>
  <c r="B3" i="6"/>
  <c r="F6" i="3"/>
  <c r="F5" i="3"/>
  <c r="F4" i="3"/>
  <c r="F3" i="3"/>
  <c r="G6" i="3"/>
  <c r="H5" i="3"/>
  <c r="G5" i="3"/>
  <c r="I4" i="3"/>
  <c r="H4" i="3"/>
  <c r="G4" i="3"/>
  <c r="I3" i="3"/>
  <c r="H3" i="3"/>
  <c r="G3" i="3"/>
  <c r="B11" i="3"/>
  <c r="B10" i="3"/>
  <c r="B9" i="3"/>
  <c r="B8" i="3"/>
  <c r="B7" i="3"/>
  <c r="B6" i="3"/>
  <c r="B5" i="3"/>
  <c r="B4" i="3"/>
  <c r="B3" i="3"/>
  <c r="E3" i="1"/>
  <c r="E7" i="1"/>
  <c r="E8" i="1"/>
  <c r="I4" i="1"/>
  <c r="I3" i="1"/>
  <c r="H5" i="1"/>
  <c r="H4" i="1"/>
  <c r="H3" i="1"/>
  <c r="G6" i="1"/>
  <c r="G5" i="1"/>
  <c r="G4" i="1"/>
  <c r="G3" i="1"/>
  <c r="D9" i="1"/>
  <c r="D8" i="1"/>
  <c r="D7" i="1"/>
  <c r="D4" i="1"/>
  <c r="D3" i="1"/>
  <c r="C10" i="1"/>
  <c r="C9" i="1"/>
  <c r="C8" i="1"/>
  <c r="C7" i="1"/>
  <c r="C5" i="1"/>
  <c r="C4" i="1"/>
  <c r="C3" i="1"/>
  <c r="B11" i="1"/>
  <c r="B10" i="1"/>
  <c r="B9" i="1"/>
  <c r="B8" i="1"/>
  <c r="B7" i="1"/>
  <c r="B6" i="1"/>
  <c r="B5" i="1"/>
  <c r="B4" i="1"/>
  <c r="B3" i="1"/>
  <c r="A3" i="13"/>
  <c r="A4" i="13" s="1"/>
  <c r="A5" i="13" s="1"/>
  <c r="A6" i="13" s="1"/>
  <c r="A7" i="13" s="1"/>
  <c r="A8" i="13" s="1"/>
  <c r="A9" i="13" s="1"/>
  <c r="A10" i="13" s="1"/>
  <c r="A11" i="13" s="1"/>
  <c r="A3" i="12"/>
  <c r="A4" i="12" s="1"/>
  <c r="A5" i="12" s="1"/>
  <c r="A6" i="12" s="1"/>
  <c r="A7" i="12" s="1"/>
  <c r="A8" i="12" s="1"/>
  <c r="A9" i="12" s="1"/>
  <c r="A10" i="12" s="1"/>
  <c r="A11" i="12" s="1"/>
  <c r="A3" i="11"/>
  <c r="A4" i="11" s="1"/>
  <c r="A5" i="11" s="1"/>
  <c r="A6" i="11" s="1"/>
  <c r="A7" i="11" s="1"/>
  <c r="A8" i="11" s="1"/>
  <c r="A9" i="11" s="1"/>
  <c r="A10" i="11" s="1"/>
  <c r="A11" i="11" s="1"/>
  <c r="A3" i="10"/>
  <c r="A4" i="10" s="1"/>
  <c r="A5" i="10" s="1"/>
  <c r="A6" i="10" s="1"/>
  <c r="A7" i="10" s="1"/>
  <c r="A8" i="10" s="1"/>
  <c r="A9" i="10" s="1"/>
  <c r="A10" i="10" s="1"/>
  <c r="A11" i="10" s="1"/>
  <c r="A3" i="9"/>
  <c r="A4" i="9" s="1"/>
  <c r="A5" i="9" s="1"/>
  <c r="A6" i="9" s="1"/>
  <c r="A7" i="9" s="1"/>
  <c r="A8" i="9" s="1"/>
  <c r="A9" i="9" s="1"/>
  <c r="A10" i="9" s="1"/>
  <c r="A11" i="9" s="1"/>
  <c r="A3" i="8"/>
  <c r="A4" i="8" s="1"/>
  <c r="A5" i="8" s="1"/>
  <c r="A6" i="8" s="1"/>
  <c r="A7" i="8" s="1"/>
  <c r="A8" i="8" s="1"/>
  <c r="A9" i="8" s="1"/>
  <c r="A10" i="8" s="1"/>
  <c r="A11" i="8" s="1"/>
  <c r="A3" i="7"/>
  <c r="A4" i="7" s="1"/>
  <c r="A5" i="7" s="1"/>
  <c r="A6" i="7" s="1"/>
  <c r="A7" i="7" s="1"/>
  <c r="A8" i="7" s="1"/>
  <c r="A9" i="7" s="1"/>
  <c r="A10" i="7" s="1"/>
  <c r="A11" i="7" s="1"/>
  <c r="A3" i="6"/>
  <c r="A4" i="6" s="1"/>
  <c r="A5" i="6" s="1"/>
  <c r="A6" i="6" s="1"/>
  <c r="A7" i="6" s="1"/>
  <c r="A8" i="6" s="1"/>
  <c r="A9" i="6" s="1"/>
  <c r="A10" i="6" s="1"/>
  <c r="A11" i="6" s="1"/>
  <c r="A3" i="4"/>
  <c r="A4" i="4" s="1"/>
  <c r="A5" i="4" s="1"/>
  <c r="A6" i="4" s="1"/>
  <c r="A7" i="4" s="1"/>
  <c r="A8" i="4" s="1"/>
  <c r="A9" i="4" s="1"/>
  <c r="A10" i="4" s="1"/>
  <c r="A11" i="4" s="1"/>
  <c r="A3" i="3"/>
  <c r="A4" i="3" s="1"/>
  <c r="A5" i="3" s="1"/>
  <c r="A6" i="3" s="1"/>
  <c r="A7" i="3" s="1"/>
  <c r="A8" i="3" s="1"/>
  <c r="A9" i="3" s="1"/>
  <c r="A10" i="3" s="1"/>
  <c r="A11" i="3" s="1"/>
  <c r="A3" i="2"/>
  <c r="A4" i="2" s="1"/>
  <c r="A5" i="2" s="1"/>
  <c r="A6" i="2" s="1"/>
  <c r="A7" i="2" s="1"/>
  <c r="A8" i="2" s="1"/>
  <c r="A9" i="2" s="1"/>
  <c r="A10" i="2" s="1"/>
  <c r="A11" i="2" s="1"/>
  <c r="A3" i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<sst xmlns="http://schemas.openxmlformats.org/spreadsheetml/2006/main" count="26" uniqueCount="7">
  <si>
    <t>Condiciones extra</t>
  </si>
  <si>
    <t>left not in [5,0]</t>
  </si>
  <si>
    <t>left not in [4,9]</t>
  </si>
  <si>
    <t>left not in [9]</t>
  </si>
  <si>
    <t>left not in [0]</t>
  </si>
  <si>
    <t>left left &gt; 1</t>
  </si>
  <si>
    <t>Número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</si>
</sst>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739C-860E-4C54-9B07-9082D514F5A2}">
  <dimension ref="A1:K11"/>
  <sheetViews>
    <sheetView workbookViewId="0">
      <selection activeCell="K15" sqref="K15"/>
    </sheetView>
  </sheetViews>
  <sheetFormatPr defaultRowHeight="14.4" x14ac:dyDescent="0.3"/>
  <sheetData>
    <row r="1" spans="1:11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1</v>
      </c>
    </row>
    <row r="3" spans="1:11" x14ac:dyDescent="0.3">
      <c r="A3" s="1">
        <f t="shared" ref="A3:A11" si="0">+A2+1</f>
        <v>1</v>
      </c>
      <c r="B3">
        <f>1/9-0.01/9</f>
        <v>0.11</v>
      </c>
      <c r="C3">
        <f>1/7-0.01/7</f>
        <v>0.14142857142857143</v>
      </c>
      <c r="D3">
        <f>0.99/5</f>
        <v>0.19800000000000001</v>
      </c>
      <c r="E3">
        <f>0.99/3</f>
        <v>0.33</v>
      </c>
      <c r="G3">
        <f>0.99/4</f>
        <v>0.2475</v>
      </c>
      <c r="H3">
        <f>0.99/3</f>
        <v>0.33</v>
      </c>
      <c r="I3">
        <f>0.99/2</f>
        <v>0.495</v>
      </c>
      <c r="J3">
        <v>0.99</v>
      </c>
    </row>
    <row r="4" spans="1:11" x14ac:dyDescent="0.3">
      <c r="A4" s="1">
        <f t="shared" si="0"/>
        <v>2</v>
      </c>
      <c r="B4">
        <f t="shared" ref="B4:B11" si="1">1/9-0.01/9</f>
        <v>0.11</v>
      </c>
      <c r="C4">
        <f t="shared" ref="C4:C5" si="2">1/7-0.01/7</f>
        <v>0.14142857142857143</v>
      </c>
      <c r="D4">
        <f>0.99/5</f>
        <v>0.19800000000000001</v>
      </c>
      <c r="G4">
        <f t="shared" ref="G4:G6" si="3">0.99/4</f>
        <v>0.2475</v>
      </c>
      <c r="H4">
        <f t="shared" ref="H4:H5" si="4">0.99/3</f>
        <v>0.33</v>
      </c>
      <c r="I4">
        <f>0.99/2</f>
        <v>0.495</v>
      </c>
    </row>
    <row r="5" spans="1:11" x14ac:dyDescent="0.3">
      <c r="A5" s="1">
        <f t="shared" si="0"/>
        <v>3</v>
      </c>
      <c r="B5">
        <f t="shared" si="1"/>
        <v>0.11</v>
      </c>
      <c r="C5">
        <f t="shared" si="2"/>
        <v>0.14142857142857143</v>
      </c>
      <c r="G5">
        <f t="shared" si="3"/>
        <v>0.2475</v>
      </c>
      <c r="H5">
        <f t="shared" si="4"/>
        <v>0.33</v>
      </c>
    </row>
    <row r="6" spans="1:11" x14ac:dyDescent="0.3">
      <c r="A6" s="1">
        <f t="shared" si="0"/>
        <v>4</v>
      </c>
      <c r="B6">
        <f t="shared" si="1"/>
        <v>0.11</v>
      </c>
      <c r="G6">
        <f t="shared" si="3"/>
        <v>0.2475</v>
      </c>
    </row>
    <row r="7" spans="1:11" x14ac:dyDescent="0.3">
      <c r="A7" s="1">
        <f t="shared" si="0"/>
        <v>5</v>
      </c>
      <c r="B7">
        <f t="shared" si="1"/>
        <v>0.11</v>
      </c>
      <c r="C7">
        <f t="shared" ref="C7:C10" si="5">1/7-0.01/7</f>
        <v>0.14142857142857143</v>
      </c>
      <c r="D7">
        <f t="shared" ref="D7:D9" si="6">0.99/5</f>
        <v>0.19800000000000001</v>
      </c>
      <c r="E7">
        <f t="shared" ref="E7:E8" si="7">0.99/3</f>
        <v>0.33</v>
      </c>
      <c r="F7">
        <v>0.99</v>
      </c>
    </row>
    <row r="8" spans="1:11" x14ac:dyDescent="0.3">
      <c r="A8" s="1">
        <f t="shared" si="0"/>
        <v>6</v>
      </c>
      <c r="B8">
        <f t="shared" si="1"/>
        <v>0.11</v>
      </c>
      <c r="C8">
        <f t="shared" si="5"/>
        <v>0.14142857142857143</v>
      </c>
      <c r="D8">
        <f t="shared" si="6"/>
        <v>0.19800000000000001</v>
      </c>
      <c r="E8">
        <f t="shared" si="7"/>
        <v>0.33</v>
      </c>
    </row>
    <row r="9" spans="1:11" x14ac:dyDescent="0.3">
      <c r="A9" s="1">
        <f t="shared" si="0"/>
        <v>7</v>
      </c>
      <c r="B9">
        <f t="shared" si="1"/>
        <v>0.11</v>
      </c>
      <c r="C9">
        <f t="shared" si="5"/>
        <v>0.14142857142857143</v>
      </c>
      <c r="D9">
        <f t="shared" si="6"/>
        <v>0.19800000000000001</v>
      </c>
    </row>
    <row r="10" spans="1:11" x14ac:dyDescent="0.3">
      <c r="A10" s="1">
        <f t="shared" si="0"/>
        <v>8</v>
      </c>
      <c r="B10">
        <f t="shared" si="1"/>
        <v>0.11</v>
      </c>
      <c r="C10">
        <f t="shared" si="5"/>
        <v>0.14142857142857143</v>
      </c>
    </row>
    <row r="11" spans="1:11" x14ac:dyDescent="0.3">
      <c r="A11" s="1">
        <f t="shared" si="0"/>
        <v>9</v>
      </c>
      <c r="B11">
        <f t="shared" si="1"/>
        <v>0.11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B481-A766-4144-9F89-2F6C2B020C8E}">
  <dimension ref="A1:K11"/>
  <sheetViews>
    <sheetView workbookViewId="0">
      <selection activeCell="K14" sqref="K14"/>
    </sheetView>
  </sheetViews>
  <sheetFormatPr defaultRowHeight="14.4" x14ac:dyDescent="0.3"/>
  <sheetData>
    <row r="1" spans="1:11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">
      <c r="A2" s="1">
        <v>0</v>
      </c>
      <c r="B2">
        <v>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</row>
    <row r="3" spans="1:11" x14ac:dyDescent="0.3">
      <c r="A3" s="1">
        <f t="shared" ref="A3:A11" si="0">+A2+1</f>
        <v>1</v>
      </c>
      <c r="C3">
        <v>0.99</v>
      </c>
      <c r="D3">
        <v>0.89</v>
      </c>
      <c r="E3">
        <f>0.89/2</f>
        <v>0.44500000000000001</v>
      </c>
      <c r="F3">
        <f t="shared" ref="F3:F5" si="1">0.89/3</f>
        <v>0.29666666666666669</v>
      </c>
      <c r="H3">
        <f>0.89/2</f>
        <v>0.44500000000000001</v>
      </c>
      <c r="I3">
        <f>0.89/4</f>
        <v>0.2225</v>
      </c>
      <c r="J3">
        <f>0.89/6</f>
        <v>0.14833333333333334</v>
      </c>
      <c r="K3">
        <f t="shared" ref="K3:K6" si="2">0.94/12</f>
        <v>7.8333333333333324E-2</v>
      </c>
    </row>
    <row r="4" spans="1:11" x14ac:dyDescent="0.3">
      <c r="A4" s="1">
        <f t="shared" si="0"/>
        <v>2</v>
      </c>
      <c r="D4">
        <v>0.1</v>
      </c>
      <c r="E4">
        <f>0.89/2</f>
        <v>0.44500000000000001</v>
      </c>
      <c r="F4">
        <f t="shared" si="1"/>
        <v>0.29666666666666669</v>
      </c>
      <c r="I4">
        <f>0.89/4</f>
        <v>0.2225</v>
      </c>
      <c r="J4">
        <f t="shared" ref="J4:J5" si="3">0.89/6</f>
        <v>0.14833333333333334</v>
      </c>
      <c r="K4">
        <f t="shared" si="2"/>
        <v>7.8333333333333324E-2</v>
      </c>
    </row>
    <row r="5" spans="1:11" x14ac:dyDescent="0.3">
      <c r="A5" s="1">
        <f t="shared" si="0"/>
        <v>3</v>
      </c>
      <c r="E5">
        <v>0.1</v>
      </c>
      <c r="F5">
        <f t="shared" si="1"/>
        <v>0.29666666666666669</v>
      </c>
      <c r="J5">
        <f t="shared" si="3"/>
        <v>0.14833333333333334</v>
      </c>
      <c r="K5">
        <f t="shared" si="2"/>
        <v>7.8333333333333324E-2</v>
      </c>
    </row>
    <row r="6" spans="1:11" x14ac:dyDescent="0.3">
      <c r="A6" s="1">
        <f t="shared" si="0"/>
        <v>4</v>
      </c>
      <c r="F6">
        <v>0.1</v>
      </c>
      <c r="K6">
        <f t="shared" si="2"/>
        <v>7.8333333333333324E-2</v>
      </c>
    </row>
    <row r="7" spans="1:11" x14ac:dyDescent="0.3">
      <c r="A7" s="1">
        <f t="shared" si="0"/>
        <v>5</v>
      </c>
      <c r="G7">
        <v>0.99</v>
      </c>
      <c r="H7">
        <f>0.89/2</f>
        <v>0.44500000000000001</v>
      </c>
      <c r="I7">
        <f>0.89/4</f>
        <v>0.2225</v>
      </c>
      <c r="J7">
        <f t="shared" ref="J7:K10" si="4">0.89/6</f>
        <v>0.14833333333333334</v>
      </c>
      <c r="K7">
        <f>0.94/6</f>
        <v>0.15666666666666665</v>
      </c>
    </row>
    <row r="8" spans="1:11" x14ac:dyDescent="0.3">
      <c r="A8" s="1">
        <f t="shared" si="0"/>
        <v>6</v>
      </c>
      <c r="H8">
        <v>0.1</v>
      </c>
      <c r="I8">
        <f>0.89/4</f>
        <v>0.2225</v>
      </c>
      <c r="J8">
        <f t="shared" si="4"/>
        <v>0.14833333333333334</v>
      </c>
      <c r="K8">
        <f t="shared" ref="K8:K10" si="5">0.94/6</f>
        <v>0.15666666666666665</v>
      </c>
    </row>
    <row r="9" spans="1:11" x14ac:dyDescent="0.3">
      <c r="A9" s="1">
        <f t="shared" si="0"/>
        <v>7</v>
      </c>
      <c r="I9">
        <v>0.1</v>
      </c>
      <c r="J9">
        <f t="shared" si="4"/>
        <v>0.14833333333333334</v>
      </c>
      <c r="K9">
        <f t="shared" si="5"/>
        <v>0.15666666666666665</v>
      </c>
    </row>
    <row r="10" spans="1:11" x14ac:dyDescent="0.3">
      <c r="A10" s="1">
        <f t="shared" si="0"/>
        <v>8</v>
      </c>
      <c r="J10">
        <v>0.1</v>
      </c>
      <c r="K10">
        <f t="shared" si="5"/>
        <v>0.15666666666666665</v>
      </c>
    </row>
    <row r="11" spans="1:11" x14ac:dyDescent="0.3">
      <c r="A11" s="1">
        <f t="shared" si="0"/>
        <v>9</v>
      </c>
      <c r="K11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A894-B24B-44F9-86D7-CB6AF2028D2A}">
  <dimension ref="A1:K11"/>
  <sheetViews>
    <sheetView workbookViewId="0">
      <selection activeCell="D32" sqref="D32"/>
    </sheetView>
  </sheetViews>
  <sheetFormatPr defaultRowHeight="14.4" x14ac:dyDescent="0.3"/>
  <sheetData>
    <row r="1" spans="1:11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">
      <c r="A2" s="1">
        <v>0</v>
      </c>
      <c r="B2">
        <v>0.01</v>
      </c>
      <c r="C2">
        <v>5.0000000000000001E-3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1</v>
      </c>
    </row>
    <row r="3" spans="1:11" x14ac:dyDescent="0.3">
      <c r="A3" s="1">
        <f t="shared" ref="A3:A11" si="0">+A2+1</f>
        <v>1</v>
      </c>
      <c r="B3">
        <f>1/9-0.01/9</f>
        <v>0.11</v>
      </c>
      <c r="C3">
        <v>0.1</v>
      </c>
      <c r="D3">
        <v>0.1</v>
      </c>
      <c r="E3">
        <v>0.1</v>
      </c>
      <c r="F3">
        <f>0.89/4</f>
        <v>0.2225</v>
      </c>
      <c r="G3">
        <f>0.99/4</f>
        <v>0.2475</v>
      </c>
      <c r="H3">
        <f>0.99/3</f>
        <v>0.33</v>
      </c>
      <c r="I3">
        <f>0.99/2</f>
        <v>0.495</v>
      </c>
      <c r="J3">
        <v>0.99</v>
      </c>
    </row>
    <row r="4" spans="1:11" x14ac:dyDescent="0.3">
      <c r="A4" s="1">
        <f t="shared" si="0"/>
        <v>2</v>
      </c>
      <c r="B4">
        <f t="shared" ref="B4:B11" si="1">1/9-0.01/9</f>
        <v>0.11</v>
      </c>
      <c r="C4">
        <v>0.1</v>
      </c>
      <c r="D4">
        <v>0.1</v>
      </c>
      <c r="E4">
        <f t="shared" ref="E4:E6" si="2">0.69/3</f>
        <v>0.22999999999999998</v>
      </c>
      <c r="F4">
        <f t="shared" ref="F4:F6" si="3">0.89/4</f>
        <v>0.2225</v>
      </c>
      <c r="G4">
        <f t="shared" ref="G4:G6" si="4">0.99/4</f>
        <v>0.2475</v>
      </c>
      <c r="H4">
        <f t="shared" ref="H4:H5" si="5">0.99/3</f>
        <v>0.33</v>
      </c>
      <c r="I4">
        <f>0.99/2</f>
        <v>0.495</v>
      </c>
    </row>
    <row r="5" spans="1:11" x14ac:dyDescent="0.3">
      <c r="A5" s="1">
        <f t="shared" si="0"/>
        <v>3</v>
      </c>
      <c r="B5">
        <f t="shared" si="1"/>
        <v>0.11</v>
      </c>
      <c r="C5">
        <v>0.1</v>
      </c>
      <c r="D5">
        <f t="shared" ref="D5:D6" si="6">0.49/2</f>
        <v>0.245</v>
      </c>
      <c r="E5">
        <f t="shared" si="2"/>
        <v>0.22999999999999998</v>
      </c>
      <c r="F5">
        <f t="shared" si="3"/>
        <v>0.2225</v>
      </c>
      <c r="G5">
        <f t="shared" si="4"/>
        <v>0.2475</v>
      </c>
      <c r="H5">
        <f t="shared" si="5"/>
        <v>0.33</v>
      </c>
    </row>
    <row r="6" spans="1:11" x14ac:dyDescent="0.3">
      <c r="A6" s="1">
        <f t="shared" si="0"/>
        <v>4</v>
      </c>
      <c r="B6">
        <f t="shared" si="1"/>
        <v>0.11</v>
      </c>
      <c r="C6">
        <v>0.28999999999999998</v>
      </c>
      <c r="D6">
        <f t="shared" si="6"/>
        <v>0.245</v>
      </c>
      <c r="E6">
        <f t="shared" si="2"/>
        <v>0.22999999999999998</v>
      </c>
      <c r="F6">
        <f t="shared" si="3"/>
        <v>0.2225</v>
      </c>
      <c r="G6">
        <f t="shared" si="4"/>
        <v>0.2475</v>
      </c>
    </row>
    <row r="7" spans="1:11" x14ac:dyDescent="0.3">
      <c r="A7" s="1">
        <f t="shared" si="0"/>
        <v>5</v>
      </c>
      <c r="B7">
        <f t="shared" si="1"/>
        <v>0.11</v>
      </c>
      <c r="C7">
        <v>0.1</v>
      </c>
      <c r="D7">
        <v>0.1</v>
      </c>
      <c r="E7">
        <v>0.1</v>
      </c>
      <c r="F7">
        <v>0.1</v>
      </c>
    </row>
    <row r="8" spans="1:11" x14ac:dyDescent="0.3">
      <c r="A8" s="1">
        <f t="shared" si="0"/>
        <v>6</v>
      </c>
      <c r="B8">
        <f t="shared" si="1"/>
        <v>0.11</v>
      </c>
      <c r="C8">
        <v>0.1</v>
      </c>
      <c r="D8">
        <v>0.1</v>
      </c>
      <c r="E8">
        <v>0.1</v>
      </c>
    </row>
    <row r="9" spans="1:11" x14ac:dyDescent="0.3">
      <c r="A9" s="1">
        <f t="shared" si="0"/>
        <v>7</v>
      </c>
      <c r="B9">
        <f t="shared" si="1"/>
        <v>0.11</v>
      </c>
      <c r="C9">
        <v>0.1</v>
      </c>
      <c r="D9">
        <v>0.1</v>
      </c>
    </row>
    <row r="10" spans="1:11" x14ac:dyDescent="0.3">
      <c r="A10" s="1">
        <f t="shared" si="0"/>
        <v>8</v>
      </c>
      <c r="B10">
        <f t="shared" si="1"/>
        <v>0.11</v>
      </c>
      <c r="C10">
        <v>0.1</v>
      </c>
    </row>
    <row r="11" spans="1:11" x14ac:dyDescent="0.3">
      <c r="A11" s="1">
        <f t="shared" si="0"/>
        <v>9</v>
      </c>
      <c r="B11">
        <f t="shared" si="1"/>
        <v>0.11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A465-0EE7-440F-9E12-76D203631182}">
  <dimension ref="A1:K11"/>
  <sheetViews>
    <sheetView workbookViewId="0">
      <selection activeCell="J22" sqref="J22"/>
    </sheetView>
  </sheetViews>
  <sheetFormatPr defaultRowHeight="14.4" x14ac:dyDescent="0.3"/>
  <sheetData>
    <row r="1" spans="1:11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">
      <c r="A2" s="1">
        <v>0</v>
      </c>
      <c r="B2">
        <v>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</row>
    <row r="3" spans="1:11" x14ac:dyDescent="0.3">
      <c r="A3" s="1">
        <f t="shared" ref="A3:A11" si="0">+A2+1</f>
        <v>1</v>
      </c>
      <c r="C3">
        <v>0.99</v>
      </c>
      <c r="D3">
        <v>0.89</v>
      </c>
      <c r="E3">
        <v>0.44500000000000001</v>
      </c>
      <c r="F3">
        <v>0.29666666666666669</v>
      </c>
      <c r="G3">
        <f t="shared" ref="G3:G6" si="1">0.94/4</f>
        <v>0.23499999999999999</v>
      </c>
      <c r="H3">
        <v>0.1</v>
      </c>
      <c r="I3">
        <v>0.1</v>
      </c>
      <c r="J3">
        <v>0.1</v>
      </c>
      <c r="K3">
        <v>7.8333333333333324E-2</v>
      </c>
    </row>
    <row r="4" spans="1:11" x14ac:dyDescent="0.3">
      <c r="A4" s="1">
        <f t="shared" si="0"/>
        <v>2</v>
      </c>
      <c r="D4">
        <v>0.1</v>
      </c>
      <c r="E4">
        <v>0.44500000000000001</v>
      </c>
      <c r="F4">
        <v>0.29666666666666669</v>
      </c>
      <c r="G4">
        <f t="shared" si="1"/>
        <v>0.23499999999999999</v>
      </c>
      <c r="H4">
        <f t="shared" ref="H4:H6" si="2">0.74/3</f>
        <v>0.24666666666666667</v>
      </c>
      <c r="I4">
        <v>0.1</v>
      </c>
      <c r="J4">
        <v>0.1</v>
      </c>
      <c r="K4">
        <v>7.8333333333333324E-2</v>
      </c>
    </row>
    <row r="5" spans="1:11" x14ac:dyDescent="0.3">
      <c r="A5" s="1">
        <f t="shared" si="0"/>
        <v>3</v>
      </c>
      <c r="E5">
        <v>0.1</v>
      </c>
      <c r="F5">
        <v>0.29666666666666669</v>
      </c>
      <c r="G5">
        <f t="shared" si="1"/>
        <v>0.23499999999999999</v>
      </c>
      <c r="H5">
        <f t="shared" si="2"/>
        <v>0.24666666666666667</v>
      </c>
      <c r="I5">
        <f t="shared" ref="I5:I6" si="3">0.54/2</f>
        <v>0.27</v>
      </c>
      <c r="J5">
        <v>0.1</v>
      </c>
      <c r="K5">
        <v>7.8333333333333324E-2</v>
      </c>
    </row>
    <row r="6" spans="1:11" x14ac:dyDescent="0.3">
      <c r="A6" s="1">
        <f t="shared" si="0"/>
        <v>4</v>
      </c>
      <c r="F6">
        <v>0.1</v>
      </c>
      <c r="G6">
        <f t="shared" si="1"/>
        <v>0.23499999999999999</v>
      </c>
      <c r="H6">
        <f t="shared" si="2"/>
        <v>0.24666666666666667</v>
      </c>
      <c r="I6">
        <f t="shared" si="3"/>
        <v>0.27</v>
      </c>
      <c r="J6">
        <v>0.34</v>
      </c>
      <c r="K6">
        <v>7.8333333333333324E-2</v>
      </c>
    </row>
    <row r="7" spans="1:11" x14ac:dyDescent="0.3">
      <c r="A7" s="1">
        <f t="shared" si="0"/>
        <v>5</v>
      </c>
      <c r="G7">
        <v>0.05</v>
      </c>
      <c r="H7">
        <v>0.1</v>
      </c>
      <c r="I7">
        <v>0.1</v>
      </c>
      <c r="J7">
        <v>0.1</v>
      </c>
      <c r="K7">
        <v>0.15666666666666665</v>
      </c>
    </row>
    <row r="8" spans="1:11" x14ac:dyDescent="0.3">
      <c r="A8" s="1">
        <f t="shared" si="0"/>
        <v>6</v>
      </c>
      <c r="H8">
        <v>0.05</v>
      </c>
      <c r="I8">
        <v>0.1</v>
      </c>
      <c r="J8">
        <v>0.1</v>
      </c>
      <c r="K8">
        <v>0.15666666666666665</v>
      </c>
    </row>
    <row r="9" spans="1:11" x14ac:dyDescent="0.3">
      <c r="A9" s="1">
        <f t="shared" si="0"/>
        <v>7</v>
      </c>
      <c r="I9">
        <v>0.05</v>
      </c>
      <c r="J9">
        <v>0.1</v>
      </c>
      <c r="K9">
        <v>0.15666666666666665</v>
      </c>
    </row>
    <row r="10" spans="1:11" x14ac:dyDescent="0.3">
      <c r="A10" s="1">
        <f t="shared" si="0"/>
        <v>8</v>
      </c>
      <c r="J10">
        <v>0.05</v>
      </c>
      <c r="K10">
        <v>0.15666666666666665</v>
      </c>
    </row>
    <row r="11" spans="1:11" x14ac:dyDescent="0.3">
      <c r="A11" s="1">
        <f t="shared" si="0"/>
        <v>9</v>
      </c>
      <c r="K11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61F7-AD2A-4131-AFAB-775BA54AECAC}">
  <dimension ref="A1:M11"/>
  <sheetViews>
    <sheetView workbookViewId="0">
      <selection activeCell="K20" sqref="K20"/>
    </sheetView>
  </sheetViews>
  <sheetFormatPr defaultRowHeight="14.4" x14ac:dyDescent="0.3"/>
  <cols>
    <col min="13" max="13" width="16.33203125" bestFit="1" customWidth="1"/>
  </cols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2</v>
      </c>
    </row>
    <row r="3" spans="1:13" x14ac:dyDescent="0.3">
      <c r="A3" s="1">
        <f t="shared" ref="A3:A11" si="0">+A2+1</f>
        <v>1</v>
      </c>
      <c r="B3">
        <f>1/9-0.01/9</f>
        <v>0.11</v>
      </c>
      <c r="C3">
        <v>0.05</v>
      </c>
      <c r="D3">
        <v>0.05</v>
      </c>
      <c r="E3">
        <v>0.05</v>
      </c>
      <c r="F3">
        <v>0.1</v>
      </c>
      <c r="G3">
        <v>0.1</v>
      </c>
      <c r="H3">
        <v>0.1</v>
      </c>
      <c r="I3">
        <v>0.1</v>
      </c>
      <c r="J3">
        <v>0.1</v>
      </c>
      <c r="K3">
        <f>1/9-0.01/9</f>
        <v>0.11</v>
      </c>
    </row>
    <row r="4" spans="1:13" x14ac:dyDescent="0.3">
      <c r="A4" s="1">
        <f t="shared" si="0"/>
        <v>2</v>
      </c>
      <c r="B4">
        <f t="shared" ref="B4:B11" si="1">1/9-0.01/9</f>
        <v>0.11</v>
      </c>
      <c r="C4">
        <v>0.05</v>
      </c>
      <c r="D4">
        <v>0.05</v>
      </c>
      <c r="E4">
        <v>0.1</v>
      </c>
      <c r="F4">
        <v>0.1</v>
      </c>
      <c r="G4">
        <v>0.1</v>
      </c>
      <c r="H4">
        <v>0.1</v>
      </c>
      <c r="I4">
        <v>0.1</v>
      </c>
      <c r="J4">
        <f t="shared" ref="J4:J7" si="2">0.89/7</f>
        <v>0.12714285714285714</v>
      </c>
      <c r="K4">
        <f t="shared" ref="K4:K11" si="3">1/9-0.01/9</f>
        <v>0.11</v>
      </c>
    </row>
    <row r="5" spans="1:13" x14ac:dyDescent="0.3">
      <c r="A5" s="1">
        <f t="shared" si="0"/>
        <v>3</v>
      </c>
      <c r="B5">
        <f t="shared" si="1"/>
        <v>0.11</v>
      </c>
      <c r="C5">
        <v>0.05</v>
      </c>
      <c r="D5">
        <v>0.1</v>
      </c>
      <c r="E5">
        <v>0.1</v>
      </c>
      <c r="F5">
        <v>0.1</v>
      </c>
      <c r="G5">
        <v>0.1</v>
      </c>
      <c r="H5">
        <v>0.1</v>
      </c>
      <c r="I5">
        <f t="shared" ref="I5:I7" si="4">0.79/5</f>
        <v>0.158</v>
      </c>
      <c r="J5">
        <f t="shared" si="2"/>
        <v>0.12714285714285714</v>
      </c>
      <c r="K5">
        <f t="shared" si="3"/>
        <v>0.11</v>
      </c>
    </row>
    <row r="6" spans="1:13" x14ac:dyDescent="0.3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0.1</v>
      </c>
      <c r="G6">
        <v>0.1</v>
      </c>
      <c r="H6">
        <f t="shared" ref="H6:H7" si="5">0.69/3</f>
        <v>0.22999999999999998</v>
      </c>
      <c r="I6">
        <f t="shared" si="4"/>
        <v>0.158</v>
      </c>
      <c r="J6">
        <f t="shared" si="2"/>
        <v>0.12714285714285714</v>
      </c>
      <c r="K6">
        <f t="shared" si="3"/>
        <v>0.11</v>
      </c>
    </row>
    <row r="7" spans="1:13" x14ac:dyDescent="0.3">
      <c r="A7" s="1">
        <f t="shared" si="0"/>
        <v>5</v>
      </c>
      <c r="B7">
        <f t="shared" si="1"/>
        <v>0.11</v>
      </c>
      <c r="C7">
        <v>0.05</v>
      </c>
      <c r="D7">
        <v>0.05</v>
      </c>
      <c r="E7">
        <v>0.05</v>
      </c>
      <c r="F7">
        <v>0.05</v>
      </c>
      <c r="G7">
        <v>0.59</v>
      </c>
      <c r="H7">
        <f t="shared" si="5"/>
        <v>0.22999999999999998</v>
      </c>
      <c r="I7">
        <f t="shared" si="4"/>
        <v>0.158</v>
      </c>
      <c r="J7">
        <f t="shared" si="2"/>
        <v>0.12714285714285714</v>
      </c>
      <c r="K7">
        <f t="shared" si="3"/>
        <v>0.11</v>
      </c>
    </row>
    <row r="8" spans="1:13" x14ac:dyDescent="0.3">
      <c r="A8" s="1">
        <f t="shared" si="0"/>
        <v>6</v>
      </c>
      <c r="B8">
        <f t="shared" si="1"/>
        <v>0.11</v>
      </c>
      <c r="C8">
        <v>0.05</v>
      </c>
      <c r="D8">
        <v>0.05</v>
      </c>
      <c r="E8">
        <v>0.05</v>
      </c>
      <c r="F8">
        <f t="shared" ref="F8:F11" si="6">0.54/4</f>
        <v>0.13500000000000001</v>
      </c>
      <c r="K8">
        <f t="shared" si="3"/>
        <v>0.11</v>
      </c>
    </row>
    <row r="9" spans="1:13" x14ac:dyDescent="0.3">
      <c r="A9" s="1">
        <f t="shared" si="0"/>
        <v>7</v>
      </c>
      <c r="B9">
        <f t="shared" si="1"/>
        <v>0.11</v>
      </c>
      <c r="C9">
        <v>0.05</v>
      </c>
      <c r="D9">
        <v>0.05</v>
      </c>
      <c r="E9">
        <f t="shared" ref="E9:E11" si="7">0.54/3</f>
        <v>0.18000000000000002</v>
      </c>
      <c r="F9">
        <f t="shared" si="6"/>
        <v>0.13500000000000001</v>
      </c>
      <c r="J9">
        <f t="shared" ref="J9:J11" si="8">0.89/7</f>
        <v>0.12714285714285714</v>
      </c>
      <c r="K9">
        <f t="shared" si="3"/>
        <v>0.11</v>
      </c>
    </row>
    <row r="10" spans="1:13" x14ac:dyDescent="0.3">
      <c r="A10" s="1">
        <f t="shared" si="0"/>
        <v>8</v>
      </c>
      <c r="B10">
        <f t="shared" si="1"/>
        <v>0.11</v>
      </c>
      <c r="C10">
        <v>0.05</v>
      </c>
      <c r="D10">
        <f>0.54/2</f>
        <v>0.27</v>
      </c>
      <c r="E10">
        <f t="shared" si="7"/>
        <v>0.18000000000000002</v>
      </c>
      <c r="F10">
        <f t="shared" si="6"/>
        <v>0.13500000000000001</v>
      </c>
      <c r="I10">
        <f t="shared" ref="I10:I11" si="9">0.79/5</f>
        <v>0.158</v>
      </c>
      <c r="J10">
        <f t="shared" si="8"/>
        <v>0.12714285714285714</v>
      </c>
      <c r="K10">
        <f t="shared" si="3"/>
        <v>0.11</v>
      </c>
    </row>
    <row r="11" spans="1:13" x14ac:dyDescent="0.3">
      <c r="A11" s="1">
        <f t="shared" si="0"/>
        <v>9</v>
      </c>
      <c r="B11">
        <f t="shared" si="1"/>
        <v>0.11</v>
      </c>
      <c r="C11">
        <v>0.54</v>
      </c>
      <c r="D11">
        <v>0.27</v>
      </c>
      <c r="E11">
        <f t="shared" si="7"/>
        <v>0.18000000000000002</v>
      </c>
      <c r="F11">
        <f t="shared" si="6"/>
        <v>0.13500000000000001</v>
      </c>
      <c r="H11">
        <f>0.69/3</f>
        <v>0.22999999999999998</v>
      </c>
      <c r="I11">
        <f t="shared" si="9"/>
        <v>0.158</v>
      </c>
      <c r="J11">
        <f t="shared" si="8"/>
        <v>0.12714285714285714</v>
      </c>
      <c r="K11">
        <f t="shared" si="3"/>
        <v>0.11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D0DB-1455-419C-A9EC-043DE794118A}">
  <dimension ref="A1:M11"/>
  <sheetViews>
    <sheetView workbookViewId="0">
      <selection activeCell="F7" sqref="F7"/>
    </sheetView>
  </sheetViews>
  <sheetFormatPr defaultRowHeight="14.4" x14ac:dyDescent="0.3"/>
  <cols>
    <col min="13" max="13" width="16.88671875" bestFit="1" customWidth="1"/>
  </cols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1</v>
      </c>
    </row>
    <row r="3" spans="1:13" x14ac:dyDescent="0.3">
      <c r="A3" s="1">
        <f t="shared" ref="A3:A11" si="0">+A2+1</f>
        <v>1</v>
      </c>
      <c r="B3">
        <f>1/9-0.01/9</f>
        <v>0.11</v>
      </c>
      <c r="C3">
        <v>0.05</v>
      </c>
      <c r="D3">
        <v>0.1</v>
      </c>
      <c r="E3">
        <v>0.1</v>
      </c>
      <c r="F3">
        <v>0.1</v>
      </c>
      <c r="G3">
        <v>0.1</v>
      </c>
      <c r="H3">
        <v>0.05</v>
      </c>
      <c r="I3">
        <v>0.05</v>
      </c>
      <c r="J3">
        <v>0.05</v>
      </c>
      <c r="K3">
        <v>7.8333333333333324E-2</v>
      </c>
    </row>
    <row r="4" spans="1:13" x14ac:dyDescent="0.3">
      <c r="A4" s="1">
        <f t="shared" si="0"/>
        <v>2</v>
      </c>
      <c r="B4">
        <f t="shared" ref="B4:B11" si="1">1/9-0.01/9</f>
        <v>0.11</v>
      </c>
      <c r="C4">
        <f t="shared" ref="C4:C11" si="2">0.94/7</f>
        <v>0.13428571428571429</v>
      </c>
      <c r="D4">
        <v>0.05</v>
      </c>
      <c r="E4">
        <v>0.1</v>
      </c>
      <c r="F4">
        <v>0.1</v>
      </c>
      <c r="G4">
        <v>0.1</v>
      </c>
      <c r="H4">
        <v>0.1</v>
      </c>
      <c r="I4">
        <v>0.05</v>
      </c>
      <c r="J4">
        <v>0.05</v>
      </c>
      <c r="K4">
        <v>7.8333333333333324E-2</v>
      </c>
    </row>
    <row r="5" spans="1:13" x14ac:dyDescent="0.3">
      <c r="A5" s="1">
        <f t="shared" si="0"/>
        <v>3</v>
      </c>
      <c r="B5">
        <f t="shared" si="1"/>
        <v>0.11</v>
      </c>
      <c r="C5">
        <f t="shared" si="2"/>
        <v>0.13428571428571429</v>
      </c>
      <c r="D5">
        <f t="shared" ref="D5:D7" si="3">0.84/5</f>
        <v>0.16799999999999998</v>
      </c>
      <c r="E5">
        <v>0.05</v>
      </c>
      <c r="F5">
        <v>0.1</v>
      </c>
      <c r="G5">
        <v>0.1</v>
      </c>
      <c r="H5">
        <v>0.1</v>
      </c>
      <c r="I5">
        <v>0.1</v>
      </c>
      <c r="J5">
        <v>0.05</v>
      </c>
      <c r="K5">
        <v>7.8333333333333324E-2</v>
      </c>
    </row>
    <row r="6" spans="1:13" x14ac:dyDescent="0.3">
      <c r="A6" s="1">
        <f t="shared" si="0"/>
        <v>4</v>
      </c>
      <c r="B6">
        <f t="shared" si="1"/>
        <v>0.11</v>
      </c>
      <c r="C6">
        <f t="shared" si="2"/>
        <v>0.13428571428571429</v>
      </c>
      <c r="D6">
        <f t="shared" si="3"/>
        <v>0.16799999999999998</v>
      </c>
      <c r="E6">
        <f t="shared" ref="E6:E7" si="4">0.74/3</f>
        <v>0.24666666666666667</v>
      </c>
      <c r="F6">
        <v>0.05</v>
      </c>
      <c r="G6">
        <v>0.1</v>
      </c>
      <c r="H6">
        <v>0.1</v>
      </c>
      <c r="I6">
        <v>0.1</v>
      </c>
      <c r="J6">
        <v>0.1</v>
      </c>
      <c r="K6">
        <v>7.8333333333333324E-2</v>
      </c>
    </row>
    <row r="7" spans="1:13" x14ac:dyDescent="0.3">
      <c r="A7" s="1">
        <f t="shared" si="0"/>
        <v>5</v>
      </c>
      <c r="B7">
        <f t="shared" si="1"/>
        <v>0.11</v>
      </c>
      <c r="C7">
        <f t="shared" si="2"/>
        <v>0.13428571428571429</v>
      </c>
      <c r="D7">
        <f t="shared" si="3"/>
        <v>0.16799999999999998</v>
      </c>
      <c r="E7">
        <f t="shared" si="4"/>
        <v>0.24666666666666667</v>
      </c>
      <c r="F7">
        <v>0.64</v>
      </c>
      <c r="G7">
        <v>0.01</v>
      </c>
      <c r="H7">
        <v>0.05</v>
      </c>
      <c r="I7">
        <v>0.05</v>
      </c>
      <c r="J7">
        <v>0.05</v>
      </c>
      <c r="K7">
        <v>0.15666666666666665</v>
      </c>
    </row>
    <row r="8" spans="1:13" x14ac:dyDescent="0.3">
      <c r="A8" s="1">
        <f t="shared" si="0"/>
        <v>6</v>
      </c>
      <c r="B8">
        <f t="shared" si="1"/>
        <v>0.11</v>
      </c>
      <c r="G8">
        <f t="shared" ref="G8:G11" si="5">0.58/4</f>
        <v>0.14499999999999999</v>
      </c>
      <c r="H8">
        <v>0.01</v>
      </c>
      <c r="I8">
        <v>0.05</v>
      </c>
      <c r="J8">
        <v>0.05</v>
      </c>
      <c r="K8">
        <v>0.15666666666666665</v>
      </c>
    </row>
    <row r="9" spans="1:13" x14ac:dyDescent="0.3">
      <c r="A9" s="1">
        <f t="shared" si="0"/>
        <v>7</v>
      </c>
      <c r="B9">
        <f t="shared" si="1"/>
        <v>0.11</v>
      </c>
      <c r="C9">
        <f t="shared" si="2"/>
        <v>0.13428571428571429</v>
      </c>
      <c r="G9">
        <f t="shared" si="5"/>
        <v>0.14499999999999999</v>
      </c>
      <c r="H9">
        <f t="shared" ref="H9:H11" si="6">0.58/3</f>
        <v>0.19333333333333333</v>
      </c>
      <c r="I9">
        <v>0.01</v>
      </c>
      <c r="J9">
        <v>0.05</v>
      </c>
      <c r="K9">
        <v>0.15666666666666665</v>
      </c>
    </row>
    <row r="10" spans="1:13" x14ac:dyDescent="0.3">
      <c r="A10" s="1">
        <f t="shared" si="0"/>
        <v>8</v>
      </c>
      <c r="B10">
        <f t="shared" si="1"/>
        <v>0.11</v>
      </c>
      <c r="C10">
        <f t="shared" si="2"/>
        <v>0.13428571428571429</v>
      </c>
      <c r="D10">
        <f t="shared" ref="D10:D11" si="7">0.84/5</f>
        <v>0.16799999999999998</v>
      </c>
      <c r="G10">
        <f t="shared" si="5"/>
        <v>0.14499999999999999</v>
      </c>
      <c r="H10">
        <f t="shared" si="6"/>
        <v>0.19333333333333333</v>
      </c>
      <c r="I10">
        <f t="shared" ref="I10:I11" si="8">0.58/2</f>
        <v>0.28999999999999998</v>
      </c>
      <c r="J10">
        <v>0.01</v>
      </c>
      <c r="K10">
        <v>0.15666666666666665</v>
      </c>
    </row>
    <row r="11" spans="1:13" x14ac:dyDescent="0.3">
      <c r="A11" s="1">
        <f t="shared" si="0"/>
        <v>9</v>
      </c>
      <c r="B11">
        <f t="shared" si="1"/>
        <v>0.11</v>
      </c>
      <c r="C11">
        <f t="shared" si="2"/>
        <v>0.13428571428571429</v>
      </c>
      <c r="D11">
        <f t="shared" si="7"/>
        <v>0.16799999999999998</v>
      </c>
      <c r="E11">
        <f t="shared" ref="E11" si="9">0.74/3</f>
        <v>0.24666666666666667</v>
      </c>
      <c r="G11">
        <f t="shared" si="5"/>
        <v>0.14499999999999999</v>
      </c>
      <c r="H11">
        <f t="shared" si="6"/>
        <v>0.19333333333333333</v>
      </c>
      <c r="I11">
        <f t="shared" si="8"/>
        <v>0.28999999999999998</v>
      </c>
      <c r="J11">
        <v>0.57999999999999996</v>
      </c>
      <c r="K11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B4BC-A015-4F0D-8F45-D3BDE4E35B8D}">
  <dimension ref="A1:M11"/>
  <sheetViews>
    <sheetView workbookViewId="0">
      <selection activeCell="K22" sqref="K22"/>
    </sheetView>
  </sheetViews>
  <sheetFormatPr defaultRowHeight="14.4" x14ac:dyDescent="0.3"/>
  <cols>
    <col min="13" max="13" width="16.33203125" bestFit="1" customWidth="1"/>
  </cols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2</v>
      </c>
    </row>
    <row r="3" spans="1:13" x14ac:dyDescent="0.3">
      <c r="A3" s="1">
        <f t="shared" ref="A3:A11" si="0">+A2+1</f>
        <v>1</v>
      </c>
      <c r="B3">
        <f>1/9-0.01/9</f>
        <v>0.11</v>
      </c>
      <c r="C3">
        <v>0.05</v>
      </c>
      <c r="D3">
        <v>0.05</v>
      </c>
      <c r="E3">
        <v>0.05</v>
      </c>
      <c r="F3">
        <v>0.1</v>
      </c>
      <c r="G3">
        <v>0.05</v>
      </c>
      <c r="H3">
        <v>0.05</v>
      </c>
      <c r="I3">
        <v>0.05</v>
      </c>
      <c r="J3">
        <v>0.05</v>
      </c>
      <c r="K3">
        <f>1/9-0.01/9</f>
        <v>0.11</v>
      </c>
    </row>
    <row r="4" spans="1:13" x14ac:dyDescent="0.3">
      <c r="A4" s="1">
        <f t="shared" si="0"/>
        <v>2</v>
      </c>
      <c r="B4">
        <f t="shared" ref="B4:B11" si="1">1/9-0.01/9</f>
        <v>0.11</v>
      </c>
      <c r="C4">
        <v>0.05</v>
      </c>
      <c r="D4">
        <v>0.05</v>
      </c>
      <c r="E4">
        <v>0.1</v>
      </c>
      <c r="F4">
        <v>0.1</v>
      </c>
      <c r="G4">
        <v>0.05</v>
      </c>
      <c r="H4">
        <v>0.05</v>
      </c>
      <c r="I4">
        <v>0.05</v>
      </c>
      <c r="J4">
        <v>0.1</v>
      </c>
      <c r="K4">
        <f t="shared" ref="K4:K11" si="2">1/9-0.01/9</f>
        <v>0.11</v>
      </c>
    </row>
    <row r="5" spans="1:13" x14ac:dyDescent="0.3">
      <c r="A5" s="1">
        <f t="shared" si="0"/>
        <v>3</v>
      </c>
      <c r="B5">
        <f t="shared" si="1"/>
        <v>0.11</v>
      </c>
      <c r="C5">
        <v>0.05</v>
      </c>
      <c r="D5">
        <v>0.1</v>
      </c>
      <c r="E5">
        <v>0.1</v>
      </c>
      <c r="F5">
        <v>0.1</v>
      </c>
      <c r="G5">
        <v>0.05</v>
      </c>
      <c r="H5">
        <v>0.05</v>
      </c>
      <c r="I5">
        <v>0.1</v>
      </c>
      <c r="J5">
        <v>0.1</v>
      </c>
      <c r="K5">
        <f t="shared" si="2"/>
        <v>0.11</v>
      </c>
    </row>
    <row r="6" spans="1:13" x14ac:dyDescent="0.3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0.1</v>
      </c>
      <c r="G6">
        <v>0.05</v>
      </c>
      <c r="H6">
        <v>0.1</v>
      </c>
      <c r="I6">
        <v>0.1</v>
      </c>
      <c r="J6">
        <v>0.1</v>
      </c>
      <c r="K6">
        <f t="shared" si="2"/>
        <v>0.11</v>
      </c>
    </row>
    <row r="7" spans="1:13" x14ac:dyDescent="0.3">
      <c r="A7" s="1">
        <f t="shared" si="0"/>
        <v>5</v>
      </c>
      <c r="B7">
        <f t="shared" si="1"/>
        <v>0.11</v>
      </c>
      <c r="C7">
        <v>0.05</v>
      </c>
      <c r="D7">
        <v>0.05</v>
      </c>
      <c r="E7">
        <v>0.05</v>
      </c>
      <c r="F7">
        <v>0.05</v>
      </c>
      <c r="G7">
        <v>0.1</v>
      </c>
      <c r="H7">
        <v>0.1</v>
      </c>
      <c r="I7">
        <v>0.1</v>
      </c>
      <c r="J7">
        <v>0.1</v>
      </c>
      <c r="K7">
        <f t="shared" si="2"/>
        <v>0.11</v>
      </c>
    </row>
    <row r="8" spans="1:13" x14ac:dyDescent="0.3">
      <c r="A8" s="1">
        <f t="shared" si="0"/>
        <v>6</v>
      </c>
      <c r="B8">
        <f t="shared" si="1"/>
        <v>0.11</v>
      </c>
      <c r="C8">
        <v>0.05</v>
      </c>
      <c r="D8">
        <v>0.05</v>
      </c>
      <c r="E8">
        <v>0.05</v>
      </c>
      <c r="F8">
        <f t="shared" ref="F8:F11" si="3">0.54/4</f>
        <v>0.13500000000000001</v>
      </c>
      <c r="G8">
        <f t="shared" ref="G8:G11" si="4">0.69/4</f>
        <v>0.17249999999999999</v>
      </c>
      <c r="H8">
        <f t="shared" ref="H8:H10" si="5">0.54/3</f>
        <v>0.18000000000000002</v>
      </c>
      <c r="I8">
        <f>0.39/2</f>
        <v>0.19500000000000001</v>
      </c>
      <c r="J8">
        <v>0.24</v>
      </c>
      <c r="K8">
        <f t="shared" si="2"/>
        <v>0.11</v>
      </c>
    </row>
    <row r="9" spans="1:13" x14ac:dyDescent="0.3">
      <c r="A9" s="1">
        <f t="shared" si="0"/>
        <v>7</v>
      </c>
      <c r="B9">
        <f t="shared" si="1"/>
        <v>0.11</v>
      </c>
      <c r="C9">
        <v>0.05</v>
      </c>
      <c r="D9">
        <v>0.05</v>
      </c>
      <c r="E9">
        <f t="shared" ref="E9:E11" si="6">0.54/3</f>
        <v>0.18000000000000002</v>
      </c>
      <c r="F9">
        <f t="shared" si="3"/>
        <v>0.13500000000000001</v>
      </c>
      <c r="G9">
        <f t="shared" si="4"/>
        <v>0.17249999999999999</v>
      </c>
      <c r="H9">
        <f t="shared" si="5"/>
        <v>0.18000000000000002</v>
      </c>
      <c r="I9">
        <f>0.39/2</f>
        <v>0.19500000000000001</v>
      </c>
      <c r="J9">
        <v>0.1</v>
      </c>
      <c r="K9">
        <f t="shared" si="2"/>
        <v>0.11</v>
      </c>
    </row>
    <row r="10" spans="1:13" x14ac:dyDescent="0.3">
      <c r="A10" s="1">
        <f t="shared" si="0"/>
        <v>8</v>
      </c>
      <c r="B10">
        <f t="shared" si="1"/>
        <v>0.11</v>
      </c>
      <c r="C10">
        <v>0.05</v>
      </c>
      <c r="D10">
        <f>0.54/2</f>
        <v>0.27</v>
      </c>
      <c r="E10">
        <f t="shared" si="6"/>
        <v>0.18000000000000002</v>
      </c>
      <c r="F10">
        <f t="shared" si="3"/>
        <v>0.13500000000000001</v>
      </c>
      <c r="G10">
        <f t="shared" si="4"/>
        <v>0.17249999999999999</v>
      </c>
      <c r="H10">
        <f t="shared" si="5"/>
        <v>0.18000000000000002</v>
      </c>
      <c r="I10">
        <v>0.1</v>
      </c>
      <c r="J10">
        <v>0.1</v>
      </c>
      <c r="K10">
        <f t="shared" si="2"/>
        <v>0.11</v>
      </c>
    </row>
    <row r="11" spans="1:13" x14ac:dyDescent="0.3">
      <c r="A11" s="1">
        <f t="shared" si="0"/>
        <v>9</v>
      </c>
      <c r="B11">
        <f t="shared" si="1"/>
        <v>0.11</v>
      </c>
      <c r="C11">
        <v>0.54</v>
      </c>
      <c r="D11">
        <v>0.27</v>
      </c>
      <c r="E11">
        <f t="shared" si="6"/>
        <v>0.18000000000000002</v>
      </c>
      <c r="F11">
        <f t="shared" si="3"/>
        <v>0.13500000000000001</v>
      </c>
      <c r="G11">
        <f t="shared" si="4"/>
        <v>0.17249999999999999</v>
      </c>
      <c r="H11">
        <v>0.1</v>
      </c>
      <c r="I11">
        <v>0.1</v>
      </c>
      <c r="J11">
        <v>0.1</v>
      </c>
      <c r="K11">
        <f t="shared" si="2"/>
        <v>0.11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F6BA-8D81-4619-BCD0-0D9C71B54D14}">
  <dimension ref="A1:M11"/>
  <sheetViews>
    <sheetView workbookViewId="0">
      <selection activeCell="J24" sqref="J24"/>
    </sheetView>
  </sheetViews>
  <sheetFormatPr defaultRowHeight="14.4" x14ac:dyDescent="0.3"/>
  <cols>
    <col min="13" max="13" width="16.33203125" bestFit="1" customWidth="1"/>
  </cols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1</v>
      </c>
    </row>
    <row r="3" spans="1:13" x14ac:dyDescent="0.3">
      <c r="A3" s="1">
        <f t="shared" ref="A3:A11" si="0">+A2+1</f>
        <v>1</v>
      </c>
      <c r="B3">
        <f>1/9-0.01/9</f>
        <v>0.11</v>
      </c>
      <c r="C3">
        <v>0.01</v>
      </c>
      <c r="D3">
        <v>0.05</v>
      </c>
      <c r="E3">
        <v>0.05</v>
      </c>
      <c r="F3">
        <v>0.05</v>
      </c>
      <c r="G3">
        <v>0.1</v>
      </c>
      <c r="H3">
        <v>0.05</v>
      </c>
      <c r="I3">
        <v>0.05</v>
      </c>
      <c r="J3">
        <v>0.05</v>
      </c>
      <c r="K3">
        <v>7.8333333333333324E-2</v>
      </c>
    </row>
    <row r="4" spans="1:13" x14ac:dyDescent="0.3">
      <c r="A4" s="1">
        <f t="shared" si="0"/>
        <v>2</v>
      </c>
      <c r="B4">
        <f t="shared" ref="B4:B11" si="1">1/9-0.01/9</f>
        <v>0.11</v>
      </c>
      <c r="C4">
        <v>0.1</v>
      </c>
      <c r="D4">
        <v>0.01</v>
      </c>
      <c r="E4">
        <v>0.05</v>
      </c>
      <c r="F4">
        <v>0.05</v>
      </c>
      <c r="G4">
        <v>0.1</v>
      </c>
      <c r="H4">
        <v>0.1</v>
      </c>
      <c r="I4">
        <v>0.05</v>
      </c>
      <c r="J4">
        <v>0.05</v>
      </c>
      <c r="K4">
        <v>7.8333333333333324E-2</v>
      </c>
    </row>
    <row r="5" spans="1:13" x14ac:dyDescent="0.3">
      <c r="A5" s="1">
        <f t="shared" si="0"/>
        <v>3</v>
      </c>
      <c r="B5">
        <f t="shared" si="1"/>
        <v>0.11</v>
      </c>
      <c r="C5">
        <v>0.1</v>
      </c>
      <c r="D5">
        <v>0.1</v>
      </c>
      <c r="E5">
        <v>0.01</v>
      </c>
      <c r="F5">
        <v>0.05</v>
      </c>
      <c r="G5">
        <v>0.1</v>
      </c>
      <c r="H5">
        <v>0.1</v>
      </c>
      <c r="I5">
        <v>0.1</v>
      </c>
      <c r="J5">
        <v>0.05</v>
      </c>
      <c r="K5">
        <v>7.8333333333333324E-2</v>
      </c>
    </row>
    <row r="6" spans="1:13" x14ac:dyDescent="0.3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0.01</v>
      </c>
      <c r="G6">
        <v>0.1</v>
      </c>
      <c r="H6">
        <v>0.1</v>
      </c>
      <c r="I6">
        <v>0.1</v>
      </c>
      <c r="J6">
        <v>0.1</v>
      </c>
      <c r="K6">
        <v>7.8333333333333324E-2</v>
      </c>
    </row>
    <row r="7" spans="1:13" x14ac:dyDescent="0.3">
      <c r="A7" s="1">
        <f t="shared" si="0"/>
        <v>5</v>
      </c>
      <c r="B7">
        <f t="shared" si="1"/>
        <v>0.11</v>
      </c>
      <c r="C7">
        <v>0.1</v>
      </c>
      <c r="D7">
        <v>0.1</v>
      </c>
      <c r="E7">
        <v>0.1</v>
      </c>
      <c r="F7">
        <v>0.1</v>
      </c>
      <c r="G7">
        <v>0.01</v>
      </c>
      <c r="H7">
        <v>0.05</v>
      </c>
      <c r="I7">
        <v>0.05</v>
      </c>
      <c r="J7">
        <v>0.05</v>
      </c>
      <c r="K7">
        <v>0.15666666666666665</v>
      </c>
    </row>
    <row r="8" spans="1:13" x14ac:dyDescent="0.3">
      <c r="A8" s="1">
        <f t="shared" si="0"/>
        <v>6</v>
      </c>
      <c r="B8">
        <f t="shared" si="1"/>
        <v>0.11</v>
      </c>
      <c r="C8">
        <v>0.28000000000000003</v>
      </c>
      <c r="D8">
        <f t="shared" ref="D8:D9" si="2">0.57/2</f>
        <v>0.28499999999999998</v>
      </c>
      <c r="E8">
        <f t="shared" ref="E8:E10" si="3">0.58/3</f>
        <v>0.19333333333333333</v>
      </c>
      <c r="F8">
        <f t="shared" ref="F8:F11" si="4">0.73/4</f>
        <v>0.1825</v>
      </c>
      <c r="G8">
        <v>0.14499999999999999</v>
      </c>
      <c r="H8">
        <v>0.01</v>
      </c>
      <c r="I8">
        <v>0.05</v>
      </c>
      <c r="J8">
        <v>0.05</v>
      </c>
      <c r="K8">
        <v>0.15666666666666665</v>
      </c>
    </row>
    <row r="9" spans="1:13" x14ac:dyDescent="0.3">
      <c r="A9" s="1">
        <f t="shared" si="0"/>
        <v>7</v>
      </c>
      <c r="B9">
        <f t="shared" si="1"/>
        <v>0.11</v>
      </c>
      <c r="C9">
        <v>0.1</v>
      </c>
      <c r="D9">
        <f t="shared" si="2"/>
        <v>0.28499999999999998</v>
      </c>
      <c r="E9">
        <f t="shared" si="3"/>
        <v>0.19333333333333333</v>
      </c>
      <c r="F9">
        <f t="shared" si="4"/>
        <v>0.1825</v>
      </c>
      <c r="G9">
        <v>0.14499999999999999</v>
      </c>
      <c r="H9">
        <v>0.19333333333333333</v>
      </c>
      <c r="I9">
        <v>0.01</v>
      </c>
      <c r="J9">
        <v>0.05</v>
      </c>
      <c r="K9">
        <v>0.15666666666666665</v>
      </c>
    </row>
    <row r="10" spans="1:13" x14ac:dyDescent="0.3">
      <c r="A10" s="1">
        <f t="shared" si="0"/>
        <v>8</v>
      </c>
      <c r="B10">
        <f t="shared" si="1"/>
        <v>0.11</v>
      </c>
      <c r="C10">
        <v>0.1</v>
      </c>
      <c r="D10">
        <v>0.1</v>
      </c>
      <c r="E10">
        <f t="shared" si="3"/>
        <v>0.19333333333333333</v>
      </c>
      <c r="F10">
        <f t="shared" si="4"/>
        <v>0.1825</v>
      </c>
      <c r="G10">
        <v>0.14499999999999999</v>
      </c>
      <c r="H10">
        <v>0.19333333333333333</v>
      </c>
      <c r="I10">
        <v>0.28999999999999998</v>
      </c>
      <c r="J10">
        <v>0.01</v>
      </c>
      <c r="K10">
        <v>0.15666666666666665</v>
      </c>
    </row>
    <row r="11" spans="1:13" x14ac:dyDescent="0.3">
      <c r="A11" s="1">
        <f t="shared" si="0"/>
        <v>9</v>
      </c>
      <c r="B11">
        <f t="shared" si="1"/>
        <v>0.11</v>
      </c>
      <c r="C11">
        <v>0.1</v>
      </c>
      <c r="D11">
        <v>0.1</v>
      </c>
      <c r="E11">
        <v>0.1</v>
      </c>
      <c r="F11">
        <f t="shared" si="4"/>
        <v>0.1825</v>
      </c>
      <c r="G11">
        <v>0.14499999999999999</v>
      </c>
      <c r="H11">
        <v>0.19333333333333333</v>
      </c>
      <c r="I11">
        <v>0.28999999999999998</v>
      </c>
      <c r="J11">
        <v>0.57999999999999996</v>
      </c>
      <c r="K11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6DA7-5DAC-4026-8B93-CF2F88E380A3}">
  <dimension ref="A1:M11"/>
  <sheetViews>
    <sheetView workbookViewId="0">
      <selection activeCell="I21" sqref="I21"/>
    </sheetView>
  </sheetViews>
  <sheetFormatPr defaultRowHeight="14.4" x14ac:dyDescent="0.3"/>
  <cols>
    <col min="13" max="13" width="16.33203125" bestFit="1" customWidth="1"/>
  </cols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3</v>
      </c>
    </row>
    <row r="3" spans="1:13" x14ac:dyDescent="0.3">
      <c r="A3" s="1">
        <f t="shared" ref="A3:A11" si="0">+A2+1</f>
        <v>1</v>
      </c>
      <c r="B3">
        <f>1/9-0.01/9</f>
        <v>0.11</v>
      </c>
      <c r="C3">
        <v>0.05</v>
      </c>
      <c r="D3">
        <v>0.05</v>
      </c>
      <c r="E3">
        <v>0.05</v>
      </c>
      <c r="F3">
        <v>0.1</v>
      </c>
      <c r="G3">
        <v>0.05</v>
      </c>
      <c r="H3">
        <v>0.05</v>
      </c>
      <c r="I3">
        <v>0.05</v>
      </c>
      <c r="J3">
        <v>0.05</v>
      </c>
      <c r="K3">
        <f>1/9-0.01/9</f>
        <v>0.11</v>
      </c>
    </row>
    <row r="4" spans="1:13" x14ac:dyDescent="0.3">
      <c r="A4" s="1">
        <f t="shared" si="0"/>
        <v>2</v>
      </c>
      <c r="B4">
        <f t="shared" ref="B4:B11" si="1">1/9-0.01/9</f>
        <v>0.11</v>
      </c>
      <c r="C4">
        <v>0.05</v>
      </c>
      <c r="D4">
        <v>0.05</v>
      </c>
      <c r="E4">
        <v>0.1</v>
      </c>
      <c r="F4">
        <v>0.1</v>
      </c>
      <c r="G4">
        <v>0.05</v>
      </c>
      <c r="H4">
        <v>0.05</v>
      </c>
      <c r="I4">
        <v>0.05</v>
      </c>
      <c r="J4">
        <v>0.1</v>
      </c>
      <c r="K4">
        <f t="shared" ref="K4:K11" si="2">1/9-0.01/9</f>
        <v>0.11</v>
      </c>
    </row>
    <row r="5" spans="1:13" x14ac:dyDescent="0.3">
      <c r="A5" s="1">
        <f t="shared" si="0"/>
        <v>3</v>
      </c>
      <c r="B5">
        <f t="shared" si="1"/>
        <v>0.11</v>
      </c>
      <c r="C5">
        <v>0.05</v>
      </c>
      <c r="D5">
        <v>0.1</v>
      </c>
      <c r="E5">
        <v>0.1</v>
      </c>
      <c r="F5">
        <v>0.1</v>
      </c>
      <c r="G5">
        <v>0.05</v>
      </c>
      <c r="H5">
        <v>0.05</v>
      </c>
      <c r="I5">
        <v>0.1</v>
      </c>
      <c r="J5">
        <v>0.1</v>
      </c>
      <c r="K5">
        <f t="shared" si="2"/>
        <v>0.11</v>
      </c>
    </row>
    <row r="6" spans="1:13" x14ac:dyDescent="0.3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0.1</v>
      </c>
      <c r="G6">
        <v>0.05</v>
      </c>
      <c r="H6">
        <v>0.1</v>
      </c>
      <c r="I6">
        <v>0.1</v>
      </c>
      <c r="J6">
        <v>0.1</v>
      </c>
      <c r="K6">
        <f t="shared" si="2"/>
        <v>0.11</v>
      </c>
    </row>
    <row r="7" spans="1:13" x14ac:dyDescent="0.3">
      <c r="A7" s="1">
        <f t="shared" si="0"/>
        <v>5</v>
      </c>
      <c r="B7">
        <f t="shared" si="1"/>
        <v>0.11</v>
      </c>
      <c r="C7">
        <v>0.05</v>
      </c>
      <c r="D7">
        <v>0.05</v>
      </c>
      <c r="E7">
        <v>0.05</v>
      </c>
      <c r="F7">
        <v>0.05</v>
      </c>
      <c r="G7">
        <v>0.1</v>
      </c>
      <c r="H7">
        <v>0.1</v>
      </c>
      <c r="I7">
        <v>0.1</v>
      </c>
      <c r="J7">
        <v>0.1</v>
      </c>
      <c r="K7">
        <f t="shared" si="2"/>
        <v>0.11</v>
      </c>
    </row>
    <row r="8" spans="1:13" x14ac:dyDescent="0.3">
      <c r="A8" s="1">
        <f t="shared" si="0"/>
        <v>6</v>
      </c>
      <c r="B8">
        <f t="shared" si="1"/>
        <v>0.11</v>
      </c>
      <c r="C8">
        <v>0.05</v>
      </c>
      <c r="D8">
        <v>0.05</v>
      </c>
      <c r="E8">
        <v>0.05</v>
      </c>
      <c r="F8">
        <f t="shared" ref="F8:F11" si="3">0.54/4</f>
        <v>0.13500000000000001</v>
      </c>
      <c r="G8">
        <f t="shared" ref="G8:G11" si="4">0.69/4</f>
        <v>0.17249999999999999</v>
      </c>
      <c r="H8">
        <f t="shared" ref="H8:H10" si="5">0.54/3</f>
        <v>0.18000000000000002</v>
      </c>
      <c r="I8">
        <f>0.39/2</f>
        <v>0.19500000000000001</v>
      </c>
      <c r="J8">
        <v>0.24</v>
      </c>
      <c r="K8">
        <f t="shared" si="2"/>
        <v>0.11</v>
      </c>
    </row>
    <row r="9" spans="1:13" x14ac:dyDescent="0.3">
      <c r="A9" s="1">
        <f t="shared" si="0"/>
        <v>7</v>
      </c>
      <c r="B9">
        <f t="shared" si="1"/>
        <v>0.11</v>
      </c>
      <c r="C9">
        <v>0.05</v>
      </c>
      <c r="D9">
        <v>0.05</v>
      </c>
      <c r="E9">
        <f t="shared" ref="E9:E11" si="6">0.54/3</f>
        <v>0.18000000000000002</v>
      </c>
      <c r="F9">
        <f t="shared" si="3"/>
        <v>0.13500000000000001</v>
      </c>
      <c r="G9">
        <f t="shared" si="4"/>
        <v>0.17249999999999999</v>
      </c>
      <c r="H9">
        <f t="shared" si="5"/>
        <v>0.18000000000000002</v>
      </c>
      <c r="I9">
        <f>0.39/2</f>
        <v>0.19500000000000001</v>
      </c>
      <c r="J9">
        <v>0.1</v>
      </c>
      <c r="K9">
        <f t="shared" si="2"/>
        <v>0.11</v>
      </c>
    </row>
    <row r="10" spans="1:13" x14ac:dyDescent="0.3">
      <c r="A10" s="1">
        <f t="shared" si="0"/>
        <v>8</v>
      </c>
      <c r="B10">
        <f t="shared" si="1"/>
        <v>0.11</v>
      </c>
      <c r="C10">
        <v>0.05</v>
      </c>
      <c r="D10">
        <f>0.54/2</f>
        <v>0.27</v>
      </c>
      <c r="E10">
        <f t="shared" si="6"/>
        <v>0.18000000000000002</v>
      </c>
      <c r="F10">
        <f t="shared" si="3"/>
        <v>0.13500000000000001</v>
      </c>
      <c r="G10">
        <f t="shared" si="4"/>
        <v>0.17249999999999999</v>
      </c>
      <c r="H10">
        <f t="shared" si="5"/>
        <v>0.18000000000000002</v>
      </c>
      <c r="I10">
        <v>0.1</v>
      </c>
      <c r="J10">
        <v>0.1</v>
      </c>
      <c r="K10">
        <f t="shared" si="2"/>
        <v>0.11</v>
      </c>
    </row>
    <row r="11" spans="1:13" x14ac:dyDescent="0.3">
      <c r="A11" s="1">
        <f t="shared" si="0"/>
        <v>9</v>
      </c>
      <c r="B11">
        <f t="shared" si="1"/>
        <v>0.11</v>
      </c>
      <c r="C11">
        <v>0.54</v>
      </c>
      <c r="D11">
        <v>0.27</v>
      </c>
      <c r="E11">
        <f t="shared" si="6"/>
        <v>0.18000000000000002</v>
      </c>
      <c r="F11">
        <f t="shared" si="3"/>
        <v>0.13500000000000001</v>
      </c>
      <c r="G11">
        <f t="shared" si="4"/>
        <v>0.17249999999999999</v>
      </c>
      <c r="H11">
        <v>0.1</v>
      </c>
      <c r="I11">
        <v>0.1</v>
      </c>
      <c r="J11">
        <v>0.1</v>
      </c>
      <c r="K11">
        <f t="shared" si="2"/>
        <v>0.11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8F44-3A8E-4037-9031-EFE920F5B5AE}">
  <dimension ref="A1:M11"/>
  <sheetViews>
    <sheetView workbookViewId="0">
      <selection activeCell="K19" sqref="K19"/>
    </sheetView>
  </sheetViews>
  <sheetFormatPr defaultRowHeight="14.4" x14ac:dyDescent="0.3"/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4</v>
      </c>
    </row>
    <row r="3" spans="1:13" x14ac:dyDescent="0.3">
      <c r="A3" s="1">
        <f t="shared" ref="A3:A11" si="0">+A2+1</f>
        <v>1</v>
      </c>
      <c r="B3">
        <v>0.11</v>
      </c>
      <c r="C3">
        <v>0.01</v>
      </c>
      <c r="D3">
        <v>0.05</v>
      </c>
      <c r="E3">
        <v>0.05</v>
      </c>
      <c r="F3">
        <v>0.05</v>
      </c>
      <c r="G3">
        <v>0.1</v>
      </c>
      <c r="H3">
        <v>0.05</v>
      </c>
      <c r="I3">
        <v>0.05</v>
      </c>
      <c r="J3">
        <v>0.05</v>
      </c>
      <c r="K3">
        <v>7.8333333333333324E-2</v>
      </c>
    </row>
    <row r="4" spans="1:13" x14ac:dyDescent="0.3">
      <c r="A4" s="1">
        <f t="shared" si="0"/>
        <v>2</v>
      </c>
      <c r="B4">
        <v>0.11</v>
      </c>
      <c r="C4">
        <v>0.1</v>
      </c>
      <c r="D4">
        <v>0.01</v>
      </c>
      <c r="E4">
        <v>0.05</v>
      </c>
      <c r="F4">
        <v>0.05</v>
      </c>
      <c r="G4">
        <v>0.1</v>
      </c>
      <c r="H4">
        <v>0.1</v>
      </c>
      <c r="I4">
        <v>0.05</v>
      </c>
      <c r="J4">
        <v>0.05</v>
      </c>
      <c r="K4">
        <v>7.8333333333333324E-2</v>
      </c>
    </row>
    <row r="5" spans="1:13" x14ac:dyDescent="0.3">
      <c r="A5" s="1">
        <f t="shared" si="0"/>
        <v>3</v>
      </c>
      <c r="B5">
        <v>0.11</v>
      </c>
      <c r="C5">
        <v>0.1</v>
      </c>
      <c r="D5">
        <v>0.1</v>
      </c>
      <c r="E5">
        <v>0.01</v>
      </c>
      <c r="F5">
        <v>0.05</v>
      </c>
      <c r="G5">
        <v>0.1</v>
      </c>
      <c r="H5">
        <v>0.1</v>
      </c>
      <c r="I5">
        <v>0.1</v>
      </c>
      <c r="J5">
        <v>0.05</v>
      </c>
      <c r="K5">
        <v>7.8333333333333324E-2</v>
      </c>
    </row>
    <row r="6" spans="1:13" x14ac:dyDescent="0.3">
      <c r="A6" s="1">
        <f t="shared" si="0"/>
        <v>4</v>
      </c>
      <c r="B6">
        <v>0.11</v>
      </c>
      <c r="C6">
        <v>0.1</v>
      </c>
      <c r="D6">
        <v>0.1</v>
      </c>
      <c r="E6">
        <v>0.1</v>
      </c>
      <c r="F6">
        <v>0.01</v>
      </c>
      <c r="G6">
        <v>0.1</v>
      </c>
      <c r="H6">
        <v>0.1</v>
      </c>
      <c r="I6">
        <v>0.1</v>
      </c>
      <c r="J6">
        <v>0.1</v>
      </c>
      <c r="K6">
        <v>7.8333333333333324E-2</v>
      </c>
    </row>
    <row r="7" spans="1:13" x14ac:dyDescent="0.3">
      <c r="A7" s="1">
        <f t="shared" si="0"/>
        <v>5</v>
      </c>
      <c r="B7">
        <v>0.11</v>
      </c>
      <c r="C7">
        <v>0.1</v>
      </c>
      <c r="D7">
        <v>0.1</v>
      </c>
      <c r="E7">
        <v>0.1</v>
      </c>
      <c r="F7">
        <v>0.1</v>
      </c>
      <c r="G7">
        <v>0.01</v>
      </c>
      <c r="H7">
        <v>0.05</v>
      </c>
      <c r="I7">
        <v>0.05</v>
      </c>
      <c r="J7">
        <v>0.05</v>
      </c>
      <c r="K7">
        <v>0.15666666666666665</v>
      </c>
    </row>
    <row r="8" spans="1:13" x14ac:dyDescent="0.3">
      <c r="A8" s="1">
        <f t="shared" si="0"/>
        <v>6</v>
      </c>
      <c r="B8">
        <v>0.11</v>
      </c>
      <c r="C8">
        <v>0.28000000000000003</v>
      </c>
      <c r="D8">
        <v>0.28499999999999998</v>
      </c>
      <c r="E8">
        <v>0.19333333333333333</v>
      </c>
      <c r="F8">
        <v>0.1825</v>
      </c>
      <c r="G8">
        <v>0.14499999999999999</v>
      </c>
      <c r="H8">
        <v>0.01</v>
      </c>
      <c r="I8">
        <v>0.05</v>
      </c>
      <c r="J8">
        <v>0.05</v>
      </c>
      <c r="K8">
        <v>0.15666666666666665</v>
      </c>
    </row>
    <row r="9" spans="1:13" x14ac:dyDescent="0.3">
      <c r="A9" s="1">
        <f t="shared" si="0"/>
        <v>7</v>
      </c>
      <c r="B9">
        <v>0.11</v>
      </c>
      <c r="C9">
        <v>0.1</v>
      </c>
      <c r="D9">
        <v>0.28499999999999998</v>
      </c>
      <c r="E9">
        <v>0.19333333333333333</v>
      </c>
      <c r="F9">
        <v>0.1825</v>
      </c>
      <c r="G9">
        <v>0.14499999999999999</v>
      </c>
      <c r="H9">
        <v>0.19333333333333333</v>
      </c>
      <c r="I9">
        <v>0.01</v>
      </c>
      <c r="J9">
        <v>0.05</v>
      </c>
      <c r="K9">
        <v>0.15666666666666665</v>
      </c>
    </row>
    <row r="10" spans="1:13" x14ac:dyDescent="0.3">
      <c r="A10" s="1">
        <f t="shared" si="0"/>
        <v>8</v>
      </c>
      <c r="B10">
        <v>0.11</v>
      </c>
      <c r="C10">
        <v>0.1</v>
      </c>
      <c r="D10">
        <v>0.1</v>
      </c>
      <c r="E10">
        <v>0.19333333333333333</v>
      </c>
      <c r="F10">
        <v>0.1825</v>
      </c>
      <c r="G10">
        <v>0.14499999999999999</v>
      </c>
      <c r="H10">
        <v>0.19333333333333333</v>
      </c>
      <c r="I10">
        <v>0.28999999999999998</v>
      </c>
      <c r="J10">
        <v>0.01</v>
      </c>
      <c r="K10">
        <v>0.15666666666666665</v>
      </c>
    </row>
    <row r="11" spans="1:13" x14ac:dyDescent="0.3">
      <c r="A11" s="1">
        <f t="shared" si="0"/>
        <v>9</v>
      </c>
      <c r="B11">
        <v>0.11</v>
      </c>
      <c r="C11">
        <v>0.1</v>
      </c>
      <c r="D11">
        <v>0.1</v>
      </c>
      <c r="E11">
        <v>0.1</v>
      </c>
      <c r="F11">
        <v>0.1825</v>
      </c>
      <c r="G11">
        <v>0.14499999999999999</v>
      </c>
      <c r="H11">
        <v>0.19333333333333333</v>
      </c>
      <c r="I11">
        <v>0.28999999999999998</v>
      </c>
      <c r="J11">
        <v>0.57999999999999996</v>
      </c>
      <c r="K11">
        <v>0.05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18F2B-65EC-4183-A567-A5D690C45251}">
  <dimension ref="A1:K11"/>
  <sheetViews>
    <sheetView workbookViewId="0">
      <selection activeCell="E22" sqref="E22"/>
    </sheetView>
  </sheetViews>
  <sheetFormatPr defaultRowHeight="14.4" x14ac:dyDescent="0.3"/>
  <sheetData>
    <row r="1" spans="1:11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</row>
    <row r="3" spans="1:11" x14ac:dyDescent="0.3">
      <c r="A3" s="1">
        <f t="shared" ref="A3:A11" si="0">+A2+1</f>
        <v>1</v>
      </c>
      <c r="B3">
        <f>1/9-0.01/9</f>
        <v>0.11</v>
      </c>
      <c r="C3">
        <v>0.05</v>
      </c>
      <c r="D3">
        <v>0.05</v>
      </c>
      <c r="E3">
        <v>0.05</v>
      </c>
      <c r="F3">
        <v>0.1</v>
      </c>
      <c r="G3">
        <v>0.05</v>
      </c>
      <c r="H3">
        <v>0.05</v>
      </c>
      <c r="I3">
        <v>0.05</v>
      </c>
      <c r="J3">
        <v>0.05</v>
      </c>
      <c r="K3">
        <f>1/9-0.01/9</f>
        <v>0.11</v>
      </c>
    </row>
    <row r="4" spans="1:11" x14ac:dyDescent="0.3">
      <c r="A4" s="1">
        <f t="shared" si="0"/>
        <v>2</v>
      </c>
      <c r="B4">
        <f t="shared" ref="B4:B11" si="1">1/9-0.01/9</f>
        <v>0.11</v>
      </c>
      <c r="C4">
        <v>0.05</v>
      </c>
      <c r="D4">
        <v>0.05</v>
      </c>
      <c r="E4">
        <v>0.1</v>
      </c>
      <c r="F4">
        <v>0.1</v>
      </c>
      <c r="G4">
        <v>0.05</v>
      </c>
      <c r="H4">
        <v>0.05</v>
      </c>
      <c r="I4">
        <v>0.05</v>
      </c>
      <c r="J4">
        <v>0.1</v>
      </c>
      <c r="K4">
        <f t="shared" ref="K4:K11" si="2">1/9-0.01/9</f>
        <v>0.11</v>
      </c>
    </row>
    <row r="5" spans="1:11" x14ac:dyDescent="0.3">
      <c r="A5" s="1">
        <f t="shared" si="0"/>
        <v>3</v>
      </c>
      <c r="B5">
        <f t="shared" si="1"/>
        <v>0.11</v>
      </c>
      <c r="C5">
        <v>0.05</v>
      </c>
      <c r="D5">
        <v>0.1</v>
      </c>
      <c r="E5">
        <v>0.1</v>
      </c>
      <c r="F5">
        <v>0.1</v>
      </c>
      <c r="G5">
        <v>0.05</v>
      </c>
      <c r="H5">
        <v>0.05</v>
      </c>
      <c r="I5">
        <v>0.1</v>
      </c>
      <c r="J5">
        <v>0.1</v>
      </c>
      <c r="K5">
        <f t="shared" si="2"/>
        <v>0.11</v>
      </c>
    </row>
    <row r="6" spans="1:11" x14ac:dyDescent="0.3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0.1</v>
      </c>
      <c r="G6">
        <v>0.05</v>
      </c>
      <c r="H6">
        <v>0.1</v>
      </c>
      <c r="I6">
        <v>0.1</v>
      </c>
      <c r="J6">
        <v>0.1</v>
      </c>
      <c r="K6">
        <f t="shared" si="2"/>
        <v>0.11</v>
      </c>
    </row>
    <row r="7" spans="1:11" x14ac:dyDescent="0.3">
      <c r="A7" s="1">
        <f t="shared" si="0"/>
        <v>5</v>
      </c>
      <c r="B7">
        <f t="shared" si="1"/>
        <v>0.11</v>
      </c>
      <c r="C7">
        <v>0.05</v>
      </c>
      <c r="D7">
        <v>0.05</v>
      </c>
      <c r="E7">
        <v>0.05</v>
      </c>
      <c r="F7">
        <v>0.05</v>
      </c>
      <c r="G7">
        <v>0.1</v>
      </c>
      <c r="H7">
        <v>0.1</v>
      </c>
      <c r="I7">
        <v>0.1</v>
      </c>
      <c r="J7">
        <v>0.1</v>
      </c>
      <c r="K7">
        <f t="shared" si="2"/>
        <v>0.11</v>
      </c>
    </row>
    <row r="8" spans="1:11" x14ac:dyDescent="0.3">
      <c r="A8" s="1">
        <f t="shared" si="0"/>
        <v>6</v>
      </c>
      <c r="B8">
        <f t="shared" si="1"/>
        <v>0.11</v>
      </c>
      <c r="C8">
        <v>0.05</v>
      </c>
      <c r="D8">
        <v>0.05</v>
      </c>
      <c r="E8">
        <v>0.05</v>
      </c>
      <c r="F8">
        <f t="shared" ref="F8:F11" si="3">0.54/4</f>
        <v>0.13500000000000001</v>
      </c>
      <c r="G8">
        <f t="shared" ref="G8:G11" si="4">0.69/4</f>
        <v>0.17249999999999999</v>
      </c>
      <c r="H8">
        <f t="shared" ref="H8:H10" si="5">0.54/3</f>
        <v>0.18000000000000002</v>
      </c>
      <c r="I8">
        <f>0.39/2</f>
        <v>0.19500000000000001</v>
      </c>
      <c r="J8">
        <v>0.24</v>
      </c>
      <c r="K8">
        <f t="shared" si="2"/>
        <v>0.11</v>
      </c>
    </row>
    <row r="9" spans="1:11" x14ac:dyDescent="0.3">
      <c r="A9" s="1">
        <f t="shared" si="0"/>
        <v>7</v>
      </c>
      <c r="B9">
        <f t="shared" si="1"/>
        <v>0.11</v>
      </c>
      <c r="C9">
        <v>0.05</v>
      </c>
      <c r="D9">
        <v>0.05</v>
      </c>
      <c r="E9">
        <f t="shared" ref="E9:E11" si="6">0.54/3</f>
        <v>0.18000000000000002</v>
      </c>
      <c r="F9">
        <f t="shared" si="3"/>
        <v>0.13500000000000001</v>
      </c>
      <c r="G9">
        <f t="shared" si="4"/>
        <v>0.17249999999999999</v>
      </c>
      <c r="H9">
        <f t="shared" si="5"/>
        <v>0.18000000000000002</v>
      </c>
      <c r="I9">
        <f>0.39/2</f>
        <v>0.19500000000000001</v>
      </c>
      <c r="J9">
        <v>0.1</v>
      </c>
      <c r="K9">
        <f t="shared" si="2"/>
        <v>0.11</v>
      </c>
    </row>
    <row r="10" spans="1:11" x14ac:dyDescent="0.3">
      <c r="A10" s="1">
        <f t="shared" si="0"/>
        <v>8</v>
      </c>
      <c r="B10">
        <f t="shared" si="1"/>
        <v>0.11</v>
      </c>
      <c r="C10">
        <v>0.05</v>
      </c>
      <c r="D10">
        <f>0.54/2</f>
        <v>0.27</v>
      </c>
      <c r="E10">
        <f t="shared" si="6"/>
        <v>0.18000000000000002</v>
      </c>
      <c r="F10">
        <f t="shared" si="3"/>
        <v>0.13500000000000001</v>
      </c>
      <c r="G10">
        <f t="shared" si="4"/>
        <v>0.17249999999999999</v>
      </c>
      <c r="H10">
        <f t="shared" si="5"/>
        <v>0.18000000000000002</v>
      </c>
      <c r="I10">
        <v>0.1</v>
      </c>
      <c r="J10">
        <v>0.1</v>
      </c>
      <c r="K10">
        <f t="shared" si="2"/>
        <v>0.11</v>
      </c>
    </row>
    <row r="11" spans="1:11" x14ac:dyDescent="0.3">
      <c r="A11" s="1">
        <f t="shared" si="0"/>
        <v>9</v>
      </c>
      <c r="B11">
        <f t="shared" si="1"/>
        <v>0.11</v>
      </c>
      <c r="C11">
        <v>0.54</v>
      </c>
      <c r="D11">
        <v>0.27</v>
      </c>
      <c r="E11">
        <f t="shared" si="6"/>
        <v>0.18000000000000002</v>
      </c>
      <c r="F11">
        <f t="shared" si="3"/>
        <v>0.13500000000000001</v>
      </c>
      <c r="G11">
        <f t="shared" si="4"/>
        <v>0.17249999999999999</v>
      </c>
      <c r="H11">
        <v>0.1</v>
      </c>
      <c r="I11">
        <v>0.1</v>
      </c>
      <c r="J11">
        <v>0.1</v>
      </c>
      <c r="K11">
        <f t="shared" si="2"/>
        <v>0.11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4602-F833-403F-96F3-5B02D6900026}">
  <dimension ref="A1:M11"/>
  <sheetViews>
    <sheetView tabSelected="1" workbookViewId="0">
      <selection activeCell="F26" sqref="F26"/>
    </sheetView>
  </sheetViews>
  <sheetFormatPr defaultRowHeight="14.4" x14ac:dyDescent="0.3"/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5</v>
      </c>
    </row>
    <row r="3" spans="1:13" x14ac:dyDescent="0.3">
      <c r="A3" s="1">
        <f t="shared" ref="A3:A11" si="0">+A2+1</f>
        <v>1</v>
      </c>
      <c r="B3">
        <v>0.11</v>
      </c>
      <c r="C3">
        <v>0.01</v>
      </c>
      <c r="D3">
        <v>0.05</v>
      </c>
      <c r="E3">
        <v>0.05</v>
      </c>
      <c r="F3">
        <v>0.05</v>
      </c>
      <c r="G3">
        <v>0.1</v>
      </c>
      <c r="H3">
        <v>0.05</v>
      </c>
      <c r="I3">
        <v>0.05</v>
      </c>
      <c r="J3">
        <v>0.05</v>
      </c>
      <c r="K3">
        <v>7.8333333333333324E-2</v>
      </c>
    </row>
    <row r="4" spans="1:13" x14ac:dyDescent="0.3">
      <c r="A4" s="1">
        <f t="shared" si="0"/>
        <v>2</v>
      </c>
      <c r="B4">
        <v>0.11</v>
      </c>
      <c r="C4">
        <v>0.1</v>
      </c>
      <c r="D4">
        <v>0.01</v>
      </c>
      <c r="E4">
        <v>0.05</v>
      </c>
      <c r="F4">
        <v>0.05</v>
      </c>
      <c r="G4">
        <v>0.1</v>
      </c>
      <c r="H4">
        <v>0.1</v>
      </c>
      <c r="I4">
        <v>0.05</v>
      </c>
      <c r="J4">
        <v>0.05</v>
      </c>
      <c r="K4">
        <v>7.8333333333333324E-2</v>
      </c>
    </row>
    <row r="5" spans="1:13" x14ac:dyDescent="0.3">
      <c r="A5" s="1">
        <f t="shared" si="0"/>
        <v>3</v>
      </c>
      <c r="B5">
        <v>0.11</v>
      </c>
      <c r="C5">
        <v>0.1</v>
      </c>
      <c r="D5">
        <v>0.1</v>
      </c>
      <c r="E5">
        <v>0.01</v>
      </c>
      <c r="F5">
        <v>0.05</v>
      </c>
      <c r="G5">
        <v>0.1</v>
      </c>
      <c r="H5">
        <v>0.1</v>
      </c>
      <c r="I5">
        <v>0.1</v>
      </c>
      <c r="J5">
        <v>0.05</v>
      </c>
      <c r="K5">
        <v>7.8333333333333324E-2</v>
      </c>
    </row>
    <row r="6" spans="1:13" x14ac:dyDescent="0.3">
      <c r="A6" s="1">
        <f t="shared" si="0"/>
        <v>4</v>
      </c>
      <c r="B6">
        <v>0.11</v>
      </c>
      <c r="C6">
        <v>0.1</v>
      </c>
      <c r="D6">
        <v>0.1</v>
      </c>
      <c r="E6">
        <v>0.1</v>
      </c>
      <c r="F6">
        <v>0.01</v>
      </c>
      <c r="G6">
        <v>0.1</v>
      </c>
      <c r="H6">
        <v>0.1</v>
      </c>
      <c r="I6">
        <v>0.1</v>
      </c>
      <c r="J6">
        <v>0.1</v>
      </c>
      <c r="K6">
        <v>7.8333333333333324E-2</v>
      </c>
    </row>
    <row r="7" spans="1:13" x14ac:dyDescent="0.3">
      <c r="A7" s="1">
        <f t="shared" si="0"/>
        <v>5</v>
      </c>
      <c r="B7">
        <v>0.11</v>
      </c>
      <c r="C7">
        <v>0.1</v>
      </c>
      <c r="D7">
        <v>0.1</v>
      </c>
      <c r="E7">
        <v>0.1</v>
      </c>
      <c r="F7">
        <v>0.1</v>
      </c>
      <c r="G7">
        <v>0.01</v>
      </c>
      <c r="H7">
        <v>0.05</v>
      </c>
      <c r="I7">
        <v>0.05</v>
      </c>
      <c r="J7">
        <v>0.05</v>
      </c>
      <c r="K7">
        <v>0.15666666666666665</v>
      </c>
    </row>
    <row r="8" spans="1:13" x14ac:dyDescent="0.3">
      <c r="A8" s="1">
        <f t="shared" si="0"/>
        <v>6</v>
      </c>
      <c r="B8">
        <v>0.11</v>
      </c>
      <c r="C8">
        <v>0.28000000000000003</v>
      </c>
      <c r="D8">
        <v>0.28499999999999998</v>
      </c>
      <c r="E8">
        <v>0.19333333333333333</v>
      </c>
      <c r="F8">
        <v>0.1825</v>
      </c>
      <c r="G8">
        <v>0.14499999999999999</v>
      </c>
      <c r="H8">
        <v>0.01</v>
      </c>
      <c r="I8">
        <v>0.05</v>
      </c>
      <c r="J8">
        <v>0.05</v>
      </c>
      <c r="K8">
        <v>0.15666666666666665</v>
      </c>
    </row>
    <row r="9" spans="1:13" x14ac:dyDescent="0.3">
      <c r="A9" s="1">
        <f t="shared" si="0"/>
        <v>7</v>
      </c>
      <c r="B9">
        <v>0.11</v>
      </c>
      <c r="C9">
        <v>0.1</v>
      </c>
      <c r="D9">
        <v>0.28499999999999998</v>
      </c>
      <c r="E9">
        <v>0.19333333333333333</v>
      </c>
      <c r="F9">
        <v>0.1825</v>
      </c>
      <c r="G9">
        <v>0.14499999999999999</v>
      </c>
      <c r="H9">
        <v>0.19333333333333333</v>
      </c>
      <c r="I9">
        <v>0.01</v>
      </c>
      <c r="J9">
        <v>0.05</v>
      </c>
      <c r="K9">
        <v>0.15666666666666665</v>
      </c>
    </row>
    <row r="10" spans="1:13" x14ac:dyDescent="0.3">
      <c r="A10" s="1">
        <f t="shared" si="0"/>
        <v>8</v>
      </c>
      <c r="B10">
        <v>0.11</v>
      </c>
      <c r="C10">
        <v>0.1</v>
      </c>
      <c r="D10">
        <v>0.1</v>
      </c>
      <c r="E10">
        <v>0.19333333333333333</v>
      </c>
      <c r="F10">
        <v>0.1825</v>
      </c>
      <c r="G10">
        <v>0.14499999999999999</v>
      </c>
      <c r="H10">
        <v>0.19333333333333333</v>
      </c>
      <c r="I10">
        <v>0.28999999999999998</v>
      </c>
      <c r="J10">
        <v>0.01</v>
      </c>
      <c r="K10">
        <v>0.15666666666666665</v>
      </c>
    </row>
    <row r="11" spans="1:13" x14ac:dyDescent="0.3">
      <c r="A11" s="1">
        <f t="shared" si="0"/>
        <v>9</v>
      </c>
      <c r="B11">
        <v>0.11</v>
      </c>
      <c r="C11">
        <v>0.1</v>
      </c>
      <c r="D11">
        <v>0.1</v>
      </c>
      <c r="E11">
        <v>0.1</v>
      </c>
      <c r="F11">
        <v>0.1825</v>
      </c>
      <c r="G11">
        <v>0.14499999999999999</v>
      </c>
      <c r="H11">
        <v>0.19333333333333333</v>
      </c>
      <c r="I11">
        <v>0.28999999999999998</v>
      </c>
      <c r="J11">
        <v>0.57999999999999996</v>
      </c>
      <c r="K1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Paso 1-3</vt:lpstr>
      <vt:lpstr>Paso 2-4</vt:lpstr>
      <vt:lpstr>Paso 5</vt:lpstr>
      <vt:lpstr>Paso 6</vt:lpstr>
      <vt:lpstr>Paso 7</vt:lpstr>
      <vt:lpstr>Paso 8</vt:lpstr>
      <vt:lpstr>Paso 9</vt:lpstr>
      <vt:lpstr>Paso 10</vt:lpstr>
      <vt:lpstr>Paso 11.1</vt:lpstr>
      <vt:lpstr>Paso 11.2</vt:lpstr>
      <vt:lpstr>Paso 12.1</vt:lpstr>
      <vt:lpstr>Paso 12.2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Lopez Araiza Bravo</dc:creator>
  <cp:lastModifiedBy>Esteban Lopez Araiza Bravo</cp:lastModifiedBy>
  <dcterms:created xsi:type="dcterms:W3CDTF">2025-05-24T14:41:34Z</dcterms:created>
  <dcterms:modified xsi:type="dcterms:W3CDTF">2025-09-27T15:03:50Z</dcterms:modified>
</cp:coreProperties>
</file>